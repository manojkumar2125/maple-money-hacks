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Setup &amp; Dashboard" sheetId="2" state="visible" r:id="rId4"/>
    <sheet name="Payday Tracker" sheetId="3" state="visible" r:id="rId5"/>
    <sheet name="Room Tracker" sheetId="4" state="visible" r:id="rId6"/>
    <sheet name="Cash Buckets" sheetId="5" state="visible" r:id="rId7"/>
    <sheet name="Rules" sheetId="6" state="visible" r:id="rId8"/>
    <sheet name="Example" sheetId="7" state="visible" r:id="rId9"/>
  </sheets>
  <definedNames>
    <definedName function="false" hidden="false" localSheetId="1" name="_xlnm.Print_Titles" vbProcedure="false">'Setup &amp; Dashboard'!$2:$3</definedName>
    <definedName function="false" hidden="false" localSheetId="0" name="_xlnm.Print_Titles" vbProcedure="false">'Start Here'!$2:$4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<sst xmlns="http://schemas.openxmlformats.org/spreadsheetml/2006/main" count="225" uniqueCount="204">
  <si>
    <t xml:space="preserve">  PAY YOURSELF FIRST</t>
  </si>
  <si>
    <t xml:space="preserve">Canadian TFSA  ·  FHSA  ·  RRSP Tracker  —  by Maple Money Hacks</t>
  </si>
  <si>
    <t xml:space="preserve">Automate your payday. Never over-contribute again.</t>
  </si>
  <si>
    <t xml:space="preserve">Set up in 10 minutes — then let payday do the work.</t>
  </si>
  <si>
    <t xml:space="preserve">1  •  Setup &amp; Dashboard — Enter the year, your names, starting balances and CRA room for Jan 1. Yellow cells only.</t>
  </si>
  <si>
    <t xml:space="preserve">2  •  Add your planned amount per pay for each account. Single? Leave Person 2 blank — everything still works.</t>
  </si>
  <si>
    <t xml:space="preserve">3  •  Cash Buckets — Set a target and a per-pay amount for each goal. All buckets live in ONE savings account, as labels.</t>
  </si>
  <si>
    <t xml:space="preserve">4  •  Payday Tracker — On each payday, tick Done ✓. Amounts pre-fill from Setup; change any row if a pay was different.</t>
  </si>
  <si>
    <t xml:space="preserve">5  •  Room Tracker — Watch FHSA / TFSA / RRSP room left. Red “OVER ROOM” warnings appear before you over-contribute.</t>
  </si>
  <si>
    <t xml:space="preserve">6  •  Review twice a year only — Jan 1 (new room) and Dec 31 (close the year). Automate contributions in your bank / broker app.</t>
  </si>
  <si>
    <t xml:space="preserve">  HOW THE ROOM SYSTEM WORKS</t>
  </si>
  <si>
    <t xml:space="preserve">•  Room = how much CRA still allows you to contribute. This tracker subtracts every payday from your Jan 1 room.</t>
  </si>
  <si>
    <t xml:space="preserve">•  FHSA has a $40,000 lifetime cap per person. When FHSA room runs out, the Room Tracker shows the pay to switch — redirect that amount to TFSA.</t>
  </si>
  <si>
    <t xml:space="preserve">•  Projections show contributions only. Market growth is not included, so Dec 31 balances are a floor, not a forecast.</t>
  </si>
  <si>
    <t xml:space="preserve">  GOOD TO KNOW</t>
  </si>
  <si>
    <t xml:space="preserve">Works with Microsoft Excel and Google Sheets (File → Import). All formulas use widely supported functions.</t>
  </si>
  <si>
    <t xml:space="preserve">Yellow cells = your inputs.  White / green cells = formulas — please don’t overwrite them.</t>
  </si>
  <si>
    <t xml:space="preserve">Version 1.0  •  All amounts in Canadian dollars (CAD).</t>
  </si>
  <si>
    <t xml:space="preserve">DISCLAIMER: This tracker is an organization and education tool. It is not financial, tax, or investment advice. Contribution limits and rules change — always confirm your room in CRA My Account before contributing.</t>
  </si>
  <si>
    <t xml:space="preserve">© Maple Money Hacks — Licensed for personal household use only. Not for resale or redistribution.</t>
  </si>
  <si>
    <t xml:space="preserve">  SETUP  &amp;  DASHBOARD  —  Pay Yourself First</t>
  </si>
  <si>
    <t xml:space="preserve">Yellow cells are yours to edit  •  Everything else calculates automatically  •  All amounts in CAD</t>
  </si>
  <si>
    <t xml:space="preserve">  1  —  YOUR HOUSEHOLD</t>
  </si>
  <si>
    <t xml:space="preserve">Tracker year</t>
  </si>
  <si>
    <t xml:space="preserve">Enter any year — e.g. the year you are planning for.</t>
  </si>
  <si>
    <t xml:space="preserve">Pays per year</t>
  </si>
  <si>
    <t xml:space="preserve">26 = biweekly  •  12 = monthly  •  52 = weekly  •  24 = semi-monthly</t>
  </si>
  <si>
    <t xml:space="preserve">Person 1 — name</t>
  </si>
  <si>
    <t xml:space="preserve">Person 1</t>
  </si>
  <si>
    <t xml:space="preserve">Type your name here — it updates the other sheets.</t>
  </si>
  <si>
    <t xml:space="preserve">Person 2 — name (optional)</t>
  </si>
  <si>
    <t xml:space="preserve">Person 2</t>
  </si>
  <si>
    <t xml:space="preserve">Single? Leave Person 2 amounts blank or $0 — the tracker still works for one person.</t>
  </si>
  <si>
    <t xml:space="preserve">Cash pot — starting balance (household)</t>
  </si>
  <si>
    <t xml:space="preserve">Total cash savings today, in ONE savings account. Allocate it across buckets in Cash Buckets.</t>
  </si>
  <si>
    <t xml:space="preserve">  2  —  STARTING BALANCES, CRA ROOM (JAN 1)  &amp;  PLANNED AMOUNT PER PAY</t>
  </si>
  <si>
    <t xml:space="preserve">Account</t>
  </si>
  <si>
    <t xml:space="preserve">Person 1
Starting Balance</t>
  </si>
  <si>
    <t xml:space="preserve">Person 1
CRA Room — Jan 1</t>
  </si>
  <si>
    <t xml:space="preserve">Person 1
Planned / Pay</t>
  </si>
  <si>
    <t xml:space="preserve">Person 2
Starting Balance</t>
  </si>
  <si>
    <t xml:space="preserve">Person 2
CRA Room — Jan 1</t>
  </si>
  <si>
    <t xml:space="preserve">Person 2
Planned / Pay</t>
  </si>
  <si>
    <t xml:space="preserve">TFSA</t>
  </si>
  <si>
    <t xml:space="preserve">FHSA</t>
  </si>
  <si>
    <t xml:space="preserve">RRSP</t>
  </si>
  <si>
    <t xml:space="preserve">Confirm CRA room in CRA My Account. FHSA room only exists if you have opened an FHSA. RRSP room is from your Notice of Assessment.</t>
  </si>
  <si>
    <t xml:space="preserve">  3  —  YOUR GOALS  (EDITABLE)</t>
  </si>
  <si>
    <t xml:space="preserve">Home down-payment target (household)</t>
  </si>
  <si>
    <t xml:space="preserve">Your target — progress is shown below.</t>
  </si>
  <si>
    <t xml:space="preserve">Emergency fund target (household)</t>
  </si>
  <si>
    <t xml:space="preserve">Retirement savings goal (household)</t>
  </si>
  <si>
    <t xml:space="preserve">FHSA lifetime cap — per person</t>
  </si>
  <si>
    <t xml:space="preserve">CRA FHSA lifetime maximum — do not change unless CRA changes it.</t>
  </si>
  <si>
    <t xml:space="preserve">Home Buyers' Plan target — per person</t>
  </si>
  <si>
    <t xml:space="preserve">Default $60,000 — set your own HBP goal.</t>
  </si>
  <si>
    <t xml:space="preserve">  4  —  DASHBOARD: YOUR PROJECTED YEAR  (CONTRIBUTIONS ONLY — GROWTH NOT INCLUDED)</t>
  </si>
  <si>
    <t xml:space="preserve">Person 1
Annual</t>
  </si>
  <si>
    <t xml:space="preserve">Person 2
Annual</t>
  </si>
  <si>
    <t xml:space="preserve">Household
Annual</t>
  </si>
  <si>
    <t xml:space="preserve">Projected Dec 31 Balance</t>
  </si>
  <si>
    <t xml:space="preserve">Starting Balance
(Household)</t>
  </si>
  <si>
    <t xml:space="preserve">Note</t>
  </si>
  <si>
    <t xml:space="preserve">Per-pay × pays / year</t>
  </si>
  <si>
    <t xml:space="preserve">TOTAL — Registered</t>
  </si>
  <si>
    <t xml:space="preserve">Cash Savings</t>
  </si>
  <si>
    <t xml:space="preserve">From Cash Buckets</t>
  </si>
  <si>
    <t xml:space="preserve">TOTAL — All Savings</t>
  </si>
  <si>
    <t xml:space="preserve">Household total</t>
  </si>
  <si>
    <t xml:space="preserve">  GOAL PROGRESS  —  PROJECTED DEC 31  vs  YOUR TARGET</t>
  </si>
  <si>
    <t xml:space="preserve">Goal</t>
  </si>
  <si>
    <t xml:space="preserve">Projected</t>
  </si>
  <si>
    <t xml:space="preserve">Target</t>
  </si>
  <si>
    <t xml:space="preserve">Progress</t>
  </si>
  <si>
    <t xml:space="preserve">Progress Bar</t>
  </si>
  <si>
    <t xml:space="preserve">Home — FHSA (household)</t>
  </si>
  <si>
    <t xml:space="preserve">Emergency Fund — Cash</t>
  </si>
  <si>
    <t xml:space="preserve">Retirement — TFSA + RRSP</t>
  </si>
  <si>
    <t xml:space="preserve">  ACCOUNT MAP  —  HOW TO ORGANIZE YOUR ACCOUNTS</t>
  </si>
  <si>
    <t xml:space="preserve">•  Registered accounts (TFSA / FHSA / RRSP) are per person, by law. Each person keeps their own — they cannot be merged, even for a couple.</t>
  </si>
  <si>
    <t xml:space="preserve">•  Cash goals live in ONE savings account with labels (see Cash Buckets). The labels divide the same dollars — they do not need separate bank accounts.</t>
  </si>
  <si>
    <t xml:space="preserve">•  One diversified fund per registered account keeps things simple and avoids holding the same investments twice in the same account.</t>
  </si>
  <si>
    <t xml:space="preserve">  PAYDAY TRACKER  —  Tick It Off, Stay On Track</t>
  </si>
  <si>
    <t xml:space="preserve">Amounts pre-fill from Setup — change any single row if that pay was different.  Monthly users: use 12 rows.  Weekly users: use this sheet twice.</t>
  </si>
  <si>
    <t xml:space="preserve">Person names come from Setup.  Red “⚠ OVER ROOM” = cumulative contributions for that account have passed the Jan 1 CRA room you entered — pause that account and see Room Tracker.</t>
  </si>
  <si>
    <t xml:space="preserve">Pay #</t>
  </si>
  <si>
    <t xml:space="preserve">Date</t>
  </si>
  <si>
    <t xml:space="preserve">Done ✓</t>
  </si>
  <si>
    <t xml:space="preserve">P1 TFSA</t>
  </si>
  <si>
    <t xml:space="preserve">P1 FHSA</t>
  </si>
  <si>
    <t xml:space="preserve">P1 RRSP</t>
  </si>
  <si>
    <t xml:space="preserve">P2 TFSA</t>
  </si>
  <si>
    <t xml:space="preserve">P2 FHSA</t>
  </si>
  <si>
    <t xml:space="preserve">P2 RRSP</t>
  </si>
  <si>
    <t xml:space="preserve">Cash</t>
  </si>
  <si>
    <t xml:space="preserve">Pay Total</t>
  </si>
  <si>
    <t xml:space="preserve">Cumulative</t>
  </si>
  <si>
    <t xml:space="preserve">P1 TFSA Check</t>
  </si>
  <si>
    <t xml:space="preserve">P1 FHSA Check</t>
  </si>
  <si>
    <t xml:space="preserve">P1 RRSP Check</t>
  </si>
  <si>
    <t xml:space="preserve">P2 TFSA Check</t>
  </si>
  <si>
    <t xml:space="preserve">P2 FHSA Check</t>
  </si>
  <si>
    <t xml:space="preserve">P2 RRSP Check</t>
  </si>
  <si>
    <t xml:space="preserve">TOTAL</t>
  </si>
  <si>
    <t xml:space="preserve">If a check flags OVER ROOM mid-year, stop contributions to that account, redirect to the next account in the Rules waterfall, and confirm room in CRA My Account.</t>
  </si>
  <si>
    <t xml:space="preserve">  ROOM TRACKER  —  Never Over-Contribute Again</t>
  </si>
  <si>
    <t xml:space="preserve">Everything here calculates from Setup + Payday Tracker.  Names update from Setup.  Confirm your real room in CRA My Account.</t>
  </si>
  <si>
    <t xml:space="preserve">Metric</t>
  </si>
  <si>
    <t xml:space="preserve">How to Read It</t>
  </si>
  <si>
    <t xml:space="preserve">FHSA — CRA room on Jan 1</t>
  </si>
  <si>
    <t xml:space="preserve">Enter this in Setup.</t>
  </si>
  <si>
    <t xml:space="preserve">FHSA — Contributed so far (Payday Tracker)</t>
  </si>
  <si>
    <t xml:space="preserve">All Payday FHSA rows added up.</t>
  </si>
  <si>
    <t xml:space="preserve">FHSA — Room left</t>
  </si>
  <si>
    <t xml:space="preserve">Negative = over room. Stop and check CRA.</t>
  </si>
  <si>
    <t xml:space="preserve">FHSA — Starting balance</t>
  </si>
  <si>
    <t xml:space="preserve">FHSA — Projected balance (starting + contributed)</t>
  </si>
  <si>
    <t xml:space="preserve">FHSA — Progress to $40,000 lifetime cap</t>
  </si>
  <si>
    <t xml:space="preserve">Cap is per person, lifetime.</t>
  </si>
  <si>
    <t xml:space="preserve">FHSA — Planned per pay</t>
  </si>
  <si>
    <t xml:space="preserve">FHSA — Pays of room left (from Jan 1)</t>
  </si>
  <si>
    <t xml:space="preserve">Jan 1 room ÷ per-pay amount, rounded up.</t>
  </si>
  <si>
    <t xml:space="preserve">FHSA — Approx. pay # when room runs out</t>
  </si>
  <si>
    <t xml:space="preserve">On this pay, switch FHSA → TFSA (see rule below).</t>
  </si>
  <si>
    <t xml:space="preserve">TFSA — CRA room on Jan 1</t>
  </si>
  <si>
    <t xml:space="preserve">TFSA — Contributed so far</t>
  </si>
  <si>
    <t xml:space="preserve">TFSA — Room left</t>
  </si>
  <si>
    <t xml:space="preserve">RRSP — CRA room on Jan 1</t>
  </si>
  <si>
    <t xml:space="preserve">RRSP — Contributed so far</t>
  </si>
  <si>
    <t xml:space="preserve">RRSP — Room left</t>
  </si>
  <si>
    <t xml:space="preserve">RRSP — Starting balance</t>
  </si>
  <si>
    <t xml:space="preserve">RRSP — Projected balance</t>
  </si>
  <si>
    <t xml:space="preserve">RRSP — Progress to Home Buyers' Plan target</t>
  </si>
  <si>
    <t xml:space="preserve">HBP target is editable in Setup (default $60,000).</t>
  </si>
  <si>
    <t xml:space="preserve">  THE SWITCH RULE  —  IN PLAIN ENGLISH</t>
  </si>
  <si>
    <t xml:space="preserve">•  When FHSA room runs out, STOP FHSA contributions. Redirect that same per-pay amount to TFSA instead — do not increase your total, just change the account.</t>
  </si>
  <si>
    <t xml:space="preserve">•  Keep redirecting to TFSA until Jan 1, when new FHSA room may arrive. Then re-check CRA My Account, update Setup, and restart.</t>
  </si>
  <si>
    <t xml:space="preserve">•  If TFSA room also runs out, move down the waterfall: FHSA (to room) → TFSA → RRSP → Cash. See Rules.</t>
  </si>
  <si>
    <t xml:space="preserve">  CASH BUCKETS  —  One Account, Clear Labels</t>
  </si>
  <si>
    <t xml:space="preserve">Cash is never invested. All buckets live in ONE savings account — the labels below divide the same pot so a car repair never steals your vacation money.</t>
  </si>
  <si>
    <t xml:space="preserve">Yellow = edit.  Defaults are suggestions only — set targets that fit your life.  Starting allocations together should add up to your cash pot in Setup (C10).</t>
  </si>
  <si>
    <t xml:space="preserve">Bucket</t>
  </si>
  <si>
    <t xml:space="preserve">Starting Allocation</t>
  </si>
  <si>
    <t xml:space="preserve">Per Pay</t>
  </si>
  <si>
    <t xml:space="preserve">Annual</t>
  </si>
  <si>
    <t xml:space="preserve">Projected Dec 31</t>
  </si>
  <si>
    <t xml:space="preserve">Notes</t>
  </si>
  <si>
    <t xml:space="preserve">Core Emergency</t>
  </si>
  <si>
    <t xml:space="preserve">Job loss / income gap — build this first.</t>
  </si>
  <si>
    <t xml:space="preserve">Car Repairs</t>
  </si>
  <si>
    <t xml:space="preserve">Repairs, tires, deductible.</t>
  </si>
  <si>
    <t xml:space="preserve">Family</t>
  </si>
  <si>
    <t xml:space="preserve">Urgent family help / flights.</t>
  </si>
  <si>
    <t xml:space="preserve">Vacation</t>
  </si>
  <si>
    <t xml:space="preserve">Save it, spend it guilt-free, rebuild it.</t>
  </si>
  <si>
    <t xml:space="preserve">Custom 1 — name your own</t>
  </si>
  <si>
    <t xml:space="preserve">Custom 2 — name your own</t>
  </si>
  <si>
    <t xml:space="preserve">TOTAL — Cash Buckets</t>
  </si>
  <si>
    <t xml:space="preserve">Check: Starting total should match Setup cash pot.</t>
  </si>
  <si>
    <t xml:space="preserve">Rule: Never invest money you will need in under 2 years. Once Core Emergency hits its target, redirect that per-pay amount to TFSA (see Rules).</t>
  </si>
  <si>
    <t xml:space="preserve">  RULES  —  The Pay Yourself First System</t>
  </si>
  <si>
    <t xml:space="preserve">Simple rules, followed every payday, beat complicated plans followed sometimes.</t>
  </si>
  <si>
    <t xml:space="preserve">  1  PAY YOURSELF FIRST</t>
  </si>
  <si>
    <t xml:space="preserve">On payday, contributions leave first — before spending. Set up automatic transfers in your bank / broker app for the day after payday, in the amounts from Setup.</t>
  </si>
  <si>
    <t xml:space="preserve">  2  ONE DIVERSIFIED FUND PER ACCOUNT</t>
  </si>
  <si>
    <t xml:space="preserve">Keep each registered account simple: one diversified fund per account, rather than several overlapping funds that hold the same things. Simplicity is what makes automation stick.</t>
  </si>
  <si>
    <t xml:space="preserve">  3  THE WATERFALL FOR EXTRA MONEY</t>
  </si>
  <si>
    <t xml:space="preserve">Bonus, tax refund, or a raise? Send extra money in this order:  ① FHSA until room runs out  →  ② TFSA  →  ③ RRSP  →  ④ Cash buckets until targets are met.</t>
  </si>
  <si>
    <t xml:space="preserve">  4  ROOM BEFORE AMOUNT</t>
  </si>
  <si>
    <t xml:space="preserve">Never guess room. Confirm TFSA / FHSA / RRSP room in CRA My Account — especially before December pays — and update Setup whenever CRA updates your numbers.</t>
  </si>
  <si>
    <t xml:space="preserve">  5  CASH STAYS CASH</t>
  </si>
  <si>
    <t xml:space="preserve">Emergency, car, family and vacation money stays in a savings account, never invested. Its job is to be there, not to grow.</t>
  </si>
  <si>
    <t xml:space="preserve">  6  REVIEW TWICE A YEAR ONLY</t>
  </si>
  <si>
    <t xml:space="preserve">Jan 1: enter new room, reset per-pay amounts.  Dec 31: close the year, celebrate progress, set next year's goals. In between, let automation work.</t>
  </si>
  <si>
    <t xml:space="preserve">Reminder: This tracker is an organization and education tool, not financial, tax, or investment advice. See Start Here for the full disclaimer.</t>
  </si>
  <si>
    <t xml:space="preserve">  EXAMPLE  —  Sample Data Only</t>
  </si>
  <si>
    <t xml:space="preserve">EXAMPLE — SAMPLE DATA ONLY, DELETE OR IGNORE THIS SHEET  •  Fictional couple: Alex &amp; Sam  •  Round numbers, for illustration</t>
  </si>
  <si>
    <t xml:space="preserve">This is what a completed year looks like. Your real numbers go in Setup &amp; Dashboard — not here.</t>
  </si>
  <si>
    <t xml:space="preserve">  ALEX &amp; SAM — SETUP SNAPSHOT  (SAMPLE YEAR, 26 BIWEEKLY PAYS)</t>
  </si>
  <si>
    <t xml:space="preserve">Alex
Starting</t>
  </si>
  <si>
    <t xml:space="preserve">Alex Room</t>
  </si>
  <si>
    <t xml:space="preserve">Alex / Pay</t>
  </si>
  <si>
    <t xml:space="preserve">Sam
Starting</t>
  </si>
  <si>
    <t xml:space="preserve">Sam Room</t>
  </si>
  <si>
    <t xml:space="preserve">Sam / Pay</t>
  </si>
  <si>
    <t xml:space="preserve">  ALEX &amp; SAM — PROJECTED YEAR  (SAMPLE, CONTRIBUTIONS ONLY)</t>
  </si>
  <si>
    <t xml:space="preserve">Alex Annual</t>
  </si>
  <si>
    <t xml:space="preserve">Sam Annual</t>
  </si>
  <si>
    <t xml:space="preserve">Household Annual</t>
  </si>
  <si>
    <t xml:space="preserve">FHSA room lasts all year</t>
  </si>
  <si>
    <t xml:space="preserve">$28,600 / year household</t>
  </si>
  <si>
    <t xml:space="preserve">  SAMPLE PAYDAY ROWS  (FIRST 4 PAYS)</t>
  </si>
  <si>
    <t xml:space="preserve">Alex TFSA</t>
  </si>
  <si>
    <t xml:space="preserve">Alex FHSA</t>
  </si>
  <si>
    <t xml:space="preserve">Alex RRSP</t>
  </si>
  <si>
    <t xml:space="preserve">Sam TFSA</t>
  </si>
  <si>
    <t xml:space="preserve">Sam FHSA</t>
  </si>
  <si>
    <t xml:space="preserve">Sam RRSP</t>
  </si>
  <si>
    <t xml:space="preserve">Pay 1</t>
  </si>
  <si>
    <t xml:space="preserve">Pay 2</t>
  </si>
  <si>
    <t xml:space="preserve">Pay 3</t>
  </si>
  <si>
    <t xml:space="preserve">Pay 4</t>
  </si>
  <si>
    <t xml:space="preserve">Cash sample: Alex &amp; Sam also save $250 / pay into cash buckets ($100 Core Emergency + $50 Car + $50 Family + $50 Vacation) = $6,500 / year, in one savings account.</t>
  </si>
  <si>
    <t xml:space="preserve">FHSA check (sample): Alex has $16,000 room ÷ $300 / pay = 54 pays of room — more than a full year, so no switch is needed this year.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</si>
</sst>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;&quot;($&quot;#,##0\);\-"/>
    <numFmt numFmtId="167" formatCode="0.0%"/>
    <numFmt numFmtId="168" formatCode="yyyy\-mm\-dd"/>
    <numFmt numFmtId="169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2"/>
      <color rgb="FF1B4332"/>
      <name val="Calibri"/>
      <family val="0"/>
      <charset val="1"/>
    </font>
    <font>
      <i val="true"/>
      <sz val="11"/>
      <color rgb="FFC1272D"/>
      <name val="Calibri"/>
      <family val="0"/>
      <charset val="1"/>
    </font>
    <font>
      <b val="true"/>
      <sz val="11"/>
      <color rgb="FF1B4332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C1272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i val="true"/>
      <sz val="10"/>
      <color rgb="FF1B4332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F4E7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B4332"/>
      <name val="Calibri"/>
      <family val="0"/>
      <charset val="1"/>
    </font>
    <font>
      <sz val="9"/>
      <color rgb="FFC1272D"/>
      <name val="Calibri"/>
      <family val="0"/>
      <charset val="1"/>
    </font>
    <font>
      <i val="true"/>
      <sz val="11"/>
      <color rgb="FF1B4332"/>
      <name val="Calibri"/>
      <family val="0"/>
      <charset val="1"/>
    </font>
    <font>
      <i val="true"/>
      <sz val="9"/>
      <color rgb="FFC1272D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4332"/>
        <bgColor rgb="FF1F4E79"/>
      </patternFill>
    </fill>
    <fill>
      <patternFill patternType="solid">
        <fgColor rgb="FFF5E6C8"/>
        <bgColor rgb="FFFFF2CC"/>
      </patternFill>
    </fill>
    <fill>
      <patternFill patternType="solid">
        <fgColor rgb="FFC1272D"/>
        <bgColor rgb="FF993366"/>
      </patternFill>
    </fill>
    <fill>
      <patternFill patternType="solid">
        <fgColor rgb="FFFDECEC"/>
        <bgColor rgb="FFFFF8E7"/>
      </patternFill>
    </fill>
    <fill>
      <patternFill patternType="solid">
        <fgColor rgb="FFEAF4EC"/>
        <bgColor rgb="FFFFF8E7"/>
      </patternFill>
    </fill>
    <fill>
      <patternFill patternType="solid">
        <fgColor rgb="FFFFF2CC"/>
        <bgColor rgb="FFFFF8E7"/>
      </patternFill>
    </fill>
    <fill>
      <patternFill patternType="solid">
        <fgColor rgb="FF2D6A4F"/>
        <bgColor rgb="FF1F4E79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DEC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CFC0"/>
      </left>
      <right style="thin">
        <color rgb="FFD9CFC0"/>
      </right>
      <top style="thin">
        <color rgb="FFD9CFC0"/>
      </top>
      <bottom style="thin">
        <color rgb="FFD9CFC0"/>
      </bottom>
      <diagonal/>
    </border>
    <border diagonalUp="false" diagonalDown="false">
      <left style="thin">
        <color rgb="FFD9CFC0"/>
      </left>
      <right/>
      <top style="thin">
        <color rgb="FFD9CFC0"/>
      </top>
      <bottom style="thin">
        <color rgb="FFD9CF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9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C1272D"/>
      </font>
      <fill>
        <patternFill>
          <bgColor rgb="FFFDEC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D9CFC0"/>
      <rgbColor rgb="FF808080"/>
      <rgbColor rgb="FF9999FF"/>
      <rgbColor rgb="FF993366"/>
      <rgbColor rgb="FFFFF2CC"/>
      <rgbColor rgb="FFEA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8E7"/>
      <rgbColor rgb="FFFDECEC"/>
      <rgbColor rgb="FFF5E6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A1A1A"/>
      <rgbColor rgb="FFC1272D"/>
      <rgbColor rgb="FF993366"/>
      <rgbColor rgb="FF1F4E7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22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4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C6" s="4"/>
      <c r="D6" s="4"/>
      <c r="E6" s="4"/>
      <c r="F6" s="4"/>
      <c r="G6" s="4"/>
    </row>
    <row r="7" customFormat="false" ht="25.5" hidden="false" customHeight="true" outlineLevel="0" collapsed="false">
      <c r="B7" s="5" t="s">
        <v>4</v>
      </c>
      <c r="C7" s="5"/>
      <c r="D7" s="5"/>
      <c r="E7" s="5"/>
      <c r="F7" s="5"/>
      <c r="G7" s="5"/>
    </row>
    <row r="8" customFormat="false" ht="25.5" hidden="false" customHeight="true" outlineLevel="0" collapsed="false">
      <c r="B8" s="5" t="s">
        <v>5</v>
      </c>
      <c r="C8" s="5"/>
      <c r="D8" s="5"/>
      <c r="E8" s="5"/>
      <c r="F8" s="5"/>
      <c r="G8" s="5"/>
    </row>
    <row r="9" customFormat="false" ht="25.5" hidden="false" customHeight="true" outlineLevel="0" collapsed="false">
      <c r="B9" s="5" t="s">
        <v>6</v>
      </c>
      <c r="C9" s="5"/>
      <c r="D9" s="5"/>
      <c r="E9" s="5"/>
      <c r="F9" s="5"/>
      <c r="G9" s="5"/>
    </row>
    <row r="10" customFormat="false" ht="25.5" hidden="false" customHeight="true" outlineLevel="0" collapsed="false">
      <c r="B10" s="5" t="s">
        <v>7</v>
      </c>
      <c r="C10" s="5"/>
      <c r="D10" s="5"/>
      <c r="E10" s="5"/>
      <c r="F10" s="5"/>
      <c r="G10" s="5"/>
    </row>
    <row r="11" customFormat="false" ht="25.5" hidden="false" customHeight="true" outlineLevel="0" collapsed="false">
      <c r="B11" s="5" t="s">
        <v>8</v>
      </c>
      <c r="C11" s="5"/>
      <c r="D11" s="5"/>
      <c r="E11" s="5"/>
      <c r="F11" s="5"/>
      <c r="G11" s="5"/>
    </row>
    <row r="12" customFormat="false" ht="25.5" hidden="false" customHeight="true" outlineLevel="0" collapsed="false">
      <c r="B12" s="5" t="s">
        <v>9</v>
      </c>
      <c r="C12" s="5"/>
      <c r="D12" s="5"/>
      <c r="E12" s="5"/>
      <c r="F12" s="5"/>
      <c r="G12" s="5"/>
    </row>
    <row r="14" customFormat="false" ht="24" hidden="false" customHeight="true" outlineLevel="0" collapsed="false">
      <c r="B14" s="6" t="s">
        <v>10</v>
      </c>
      <c r="C14" s="6"/>
      <c r="D14" s="6"/>
      <c r="E14" s="6"/>
      <c r="F14" s="6"/>
      <c r="G14" s="6"/>
    </row>
    <row r="15" customFormat="false" ht="25.5" hidden="false" customHeight="true" outlineLevel="0" collapsed="false">
      <c r="B15" s="5" t="s">
        <v>11</v>
      </c>
      <c r="C15" s="5"/>
      <c r="D15" s="5"/>
      <c r="E15" s="5"/>
      <c r="F15" s="5"/>
      <c r="G15" s="5"/>
    </row>
    <row r="16" customFormat="false" ht="25.5" hidden="false" customHeight="true" outlineLevel="0" collapsed="false">
      <c r="B16" s="5" t="s">
        <v>12</v>
      </c>
      <c r="C16" s="5"/>
      <c r="D16" s="5"/>
      <c r="E16" s="5"/>
      <c r="F16" s="5"/>
      <c r="G16" s="5"/>
    </row>
    <row r="17" customFormat="false" ht="25.5" hidden="false" customHeight="true" outlineLevel="0" collapsed="false">
      <c r="B17" s="5" t="s">
        <v>13</v>
      </c>
      <c r="C17" s="5"/>
      <c r="D17" s="5"/>
      <c r="E17" s="5"/>
      <c r="F17" s="5"/>
      <c r="G17" s="5"/>
    </row>
    <row r="19" customFormat="false" ht="24" hidden="false" customHeight="true" outlineLevel="0" collapsed="false">
      <c r="B19" s="7" t="s">
        <v>14</v>
      </c>
      <c r="C19" s="7"/>
      <c r="D19" s="7"/>
      <c r="E19" s="7"/>
      <c r="F19" s="7"/>
      <c r="G19" s="7"/>
    </row>
    <row r="20" customFormat="false" ht="21.75" hidden="false" customHeight="true" outlineLevel="0" collapsed="false">
      <c r="B20" s="5" t="s">
        <v>15</v>
      </c>
      <c r="C20" s="5"/>
      <c r="D20" s="5"/>
      <c r="E20" s="5"/>
      <c r="F20" s="5"/>
      <c r="G20" s="5"/>
    </row>
    <row r="21" customFormat="false" ht="21.75" hidden="false" customHeight="true" outlineLevel="0" collapsed="false">
      <c r="B21" s="5" t="s">
        <v>16</v>
      </c>
      <c r="C21" s="5"/>
      <c r="D21" s="5"/>
      <c r="E21" s="5"/>
      <c r="F21" s="5"/>
      <c r="G21" s="5"/>
    </row>
    <row r="22" customFormat="false" ht="21.75" hidden="false" customHeight="true" outlineLevel="0" collapsed="false">
      <c r="B22" s="5" t="s">
        <v>17</v>
      </c>
      <c r="C22" s="5"/>
      <c r="D22" s="5"/>
      <c r="E22" s="5"/>
      <c r="F22" s="5"/>
      <c r="G22" s="5"/>
    </row>
    <row r="24" customFormat="false" ht="15" hidden="false" customHeight="true" outlineLevel="0" collapsed="false">
      <c r="B24" s="8" t="s">
        <v>18</v>
      </c>
      <c r="C24" s="8"/>
      <c r="D24" s="8"/>
      <c r="E24" s="8"/>
      <c r="F24" s="8"/>
      <c r="G24" s="8"/>
    </row>
    <row r="25" customFormat="false" ht="15" hidden="false" customHeight="false" outlineLevel="0" collapsed="false">
      <c r="B25" s="8"/>
      <c r="C25" s="8"/>
      <c r="D25" s="8"/>
      <c r="E25" s="8"/>
      <c r="F25" s="8"/>
      <c r="G25" s="8"/>
    </row>
    <row r="27" customFormat="false" ht="15" hidden="false" customHeight="false" outlineLevel="0" collapsed="false">
      <c r="B27" s="9" t="s">
        <v>19</v>
      </c>
      <c r="C27" s="9"/>
      <c r="D27" s="9"/>
      <c r="E27" s="9"/>
      <c r="F27" s="9"/>
      <c r="G27" s="9"/>
    </row>
  </sheetData>
  <mergeCells count="20">
    <mergeCell ref="B2:G2"/>
    <mergeCell ref="B3:G3"/>
    <mergeCell ref="B4:G4"/>
    <mergeCell ref="B6:G6"/>
    <mergeCell ref="B7:G7"/>
    <mergeCell ref="B8:G8"/>
    <mergeCell ref="B9:G9"/>
    <mergeCell ref="B10:G10"/>
    <mergeCell ref="B11:G11"/>
    <mergeCell ref="B12:G12"/>
    <mergeCell ref="B14:G14"/>
    <mergeCell ref="B15:G15"/>
    <mergeCell ref="B16:G16"/>
    <mergeCell ref="B17:G17"/>
    <mergeCell ref="B19:G19"/>
    <mergeCell ref="B20:G20"/>
    <mergeCell ref="B21:G21"/>
    <mergeCell ref="B22:G22"/>
    <mergeCell ref="B24:G25"/>
    <mergeCell ref="B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8" min="3" style="0" width="16"/>
  </cols>
  <sheetData>
    <row r="2" customFormat="false" ht="31.5" hidden="false" customHeight="true" outlineLevel="0" collapsed="false">
      <c r="B2" s="1" t="s">
        <v>20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10" t="s">
        <v>21</v>
      </c>
      <c r="C3" s="10"/>
      <c r="D3" s="10"/>
      <c r="E3" s="10"/>
      <c r="F3" s="10"/>
      <c r="G3" s="10"/>
      <c r="H3" s="10"/>
    </row>
    <row r="5" customFormat="false" ht="24" hidden="false" customHeight="true" outlineLevel="0" collapsed="false">
      <c r="B5" s="6" t="s">
        <v>22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B6" s="11" t="s">
        <v>23</v>
      </c>
      <c r="C6" s="12" t="n">
        <v>2027</v>
      </c>
      <c r="D6" s="13" t="s">
        <v>24</v>
      </c>
      <c r="E6" s="13"/>
      <c r="F6" s="13"/>
      <c r="G6" s="13"/>
      <c r="H6" s="13"/>
    </row>
    <row r="7" customFormat="false" ht="15" hidden="false" customHeight="true" outlineLevel="0" collapsed="false">
      <c r="B7" s="11" t="s">
        <v>25</v>
      </c>
      <c r="C7" s="12" t="n">
        <v>26</v>
      </c>
      <c r="D7" s="13" t="s">
        <v>26</v>
      </c>
      <c r="E7" s="13"/>
      <c r="F7" s="13"/>
      <c r="G7" s="13"/>
      <c r="H7" s="13"/>
    </row>
    <row r="8" customFormat="false" ht="15" hidden="false" customHeight="true" outlineLevel="0" collapsed="false">
      <c r="B8" s="11" t="s">
        <v>27</v>
      </c>
      <c r="C8" s="14" t="s">
        <v>28</v>
      </c>
      <c r="D8" s="13" t="s">
        <v>29</v>
      </c>
      <c r="E8" s="13"/>
      <c r="F8" s="13"/>
      <c r="G8" s="13"/>
      <c r="H8" s="13"/>
    </row>
    <row r="9" customFormat="false" ht="15" hidden="false" customHeight="true" outlineLevel="0" collapsed="false">
      <c r="B9" s="11" t="s">
        <v>30</v>
      </c>
      <c r="C9" s="14" t="s">
        <v>31</v>
      </c>
      <c r="D9" s="13" t="s">
        <v>32</v>
      </c>
      <c r="E9" s="13"/>
      <c r="F9" s="13"/>
      <c r="G9" s="13"/>
      <c r="H9" s="13"/>
    </row>
    <row r="10" customFormat="false" ht="15" hidden="false" customHeight="true" outlineLevel="0" collapsed="false">
      <c r="B10" s="11" t="s">
        <v>33</v>
      </c>
      <c r="C10" s="15"/>
      <c r="D10" s="13" t="s">
        <v>34</v>
      </c>
      <c r="E10" s="13"/>
      <c r="F10" s="13"/>
      <c r="G10" s="13"/>
      <c r="H10" s="13"/>
    </row>
    <row r="12" customFormat="false" ht="24" hidden="false" customHeight="true" outlineLevel="0" collapsed="false">
      <c r="B12" s="6" t="s">
        <v>35</v>
      </c>
      <c r="C12" s="6"/>
      <c r="D12" s="6"/>
      <c r="E12" s="6"/>
      <c r="F12" s="6"/>
      <c r="G12" s="6"/>
      <c r="H12" s="6"/>
    </row>
    <row r="13" customFormat="false" ht="30" hidden="false" customHeight="true" outlineLevel="0" collapsed="false">
      <c r="B13" s="16" t="s">
        <v>36</v>
      </c>
      <c r="C13" s="16" t="s">
        <v>37</v>
      </c>
      <c r="D13" s="16" t="s">
        <v>38</v>
      </c>
      <c r="E13" s="16" t="s">
        <v>39</v>
      </c>
      <c r="F13" s="16" t="s">
        <v>40</v>
      </c>
      <c r="G13" s="16" t="s">
        <v>41</v>
      </c>
      <c r="H13" s="16" t="s">
        <v>42</v>
      </c>
    </row>
    <row r="14" customFormat="false" ht="19.5" hidden="false" customHeight="true" outlineLevel="0" collapsed="false">
      <c r="B14" s="17" t="s">
        <v>43</v>
      </c>
      <c r="C14" s="15"/>
      <c r="D14" s="15"/>
      <c r="E14" s="15"/>
      <c r="F14" s="15"/>
      <c r="G14" s="15"/>
      <c r="H14" s="15"/>
    </row>
    <row r="15" customFormat="false" ht="19.5" hidden="false" customHeight="true" outlineLevel="0" collapsed="false">
      <c r="B15" s="17" t="s">
        <v>44</v>
      </c>
      <c r="C15" s="15"/>
      <c r="D15" s="15"/>
      <c r="E15" s="15"/>
      <c r="F15" s="15"/>
      <c r="G15" s="15"/>
      <c r="H15" s="15"/>
    </row>
    <row r="16" customFormat="false" ht="19.5" hidden="false" customHeight="true" outlineLevel="0" collapsed="false">
      <c r="B16" s="17" t="s">
        <v>45</v>
      </c>
      <c r="C16" s="15"/>
      <c r="D16" s="15"/>
      <c r="E16" s="15"/>
      <c r="F16" s="15"/>
      <c r="G16" s="15"/>
      <c r="H16" s="15"/>
    </row>
    <row r="17" customFormat="false" ht="15" hidden="false" customHeight="true" outlineLevel="0" collapsed="false">
      <c r="B17" s="13" t="s">
        <v>46</v>
      </c>
      <c r="C17" s="13"/>
      <c r="D17" s="13"/>
      <c r="E17" s="13"/>
      <c r="F17" s="13"/>
      <c r="G17" s="13"/>
      <c r="H17" s="13"/>
    </row>
    <row r="19" customFormat="false" ht="24" hidden="false" customHeight="true" outlineLevel="0" collapsed="false">
      <c r="B19" s="6" t="s">
        <v>47</v>
      </c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B20" s="11" t="s">
        <v>48</v>
      </c>
      <c r="C20" s="15"/>
      <c r="D20" s="18" t="s">
        <v>49</v>
      </c>
      <c r="E20" s="18"/>
      <c r="F20" s="18"/>
      <c r="G20" s="18"/>
      <c r="H20" s="18"/>
    </row>
    <row r="21" customFormat="false" ht="15" hidden="false" customHeight="false" outlineLevel="0" collapsed="false">
      <c r="B21" s="11" t="s">
        <v>50</v>
      </c>
      <c r="C21" s="15"/>
      <c r="D21" s="18" t="s">
        <v>49</v>
      </c>
      <c r="E21" s="18"/>
      <c r="F21" s="18"/>
      <c r="G21" s="18"/>
      <c r="H21" s="18"/>
    </row>
    <row r="22" customFormat="false" ht="15" hidden="false" customHeight="false" outlineLevel="0" collapsed="false">
      <c r="B22" s="11" t="s">
        <v>51</v>
      </c>
      <c r="C22" s="15"/>
      <c r="D22" s="18" t="s">
        <v>49</v>
      </c>
      <c r="E22" s="18"/>
      <c r="F22" s="18"/>
      <c r="G22" s="18"/>
      <c r="H22" s="18"/>
    </row>
    <row r="23" customFormat="false" ht="15" hidden="false" customHeight="false" outlineLevel="0" collapsed="false">
      <c r="B23" s="11" t="s">
        <v>52</v>
      </c>
      <c r="C23" s="15" t="n">
        <v>40000</v>
      </c>
      <c r="D23" s="18" t="s">
        <v>53</v>
      </c>
      <c r="E23" s="18"/>
      <c r="F23" s="18"/>
      <c r="G23" s="18"/>
      <c r="H23" s="18"/>
    </row>
    <row r="24" customFormat="false" ht="15" hidden="false" customHeight="false" outlineLevel="0" collapsed="false">
      <c r="B24" s="11" t="s">
        <v>54</v>
      </c>
      <c r="C24" s="15" t="n">
        <v>60000</v>
      </c>
      <c r="D24" s="18" t="s">
        <v>55</v>
      </c>
      <c r="E24" s="18"/>
      <c r="F24" s="18"/>
      <c r="G24" s="18"/>
      <c r="H24" s="18"/>
    </row>
    <row r="26" customFormat="false" ht="24" hidden="false" customHeight="true" outlineLevel="0" collapsed="false">
      <c r="B26" s="6" t="s">
        <v>56</v>
      </c>
      <c r="C26" s="6"/>
      <c r="D26" s="6"/>
      <c r="E26" s="6"/>
      <c r="F26" s="6"/>
      <c r="G26" s="6"/>
      <c r="H26" s="6"/>
    </row>
    <row r="27" customFormat="false" ht="30" hidden="false" customHeight="true" outlineLevel="0" collapsed="false">
      <c r="B27" s="16" t="s">
        <v>36</v>
      </c>
      <c r="C27" s="16" t="s">
        <v>57</v>
      </c>
      <c r="D27" s="16" t="s">
        <v>58</v>
      </c>
      <c r="E27" s="16" t="s">
        <v>59</v>
      </c>
      <c r="F27" s="16" t="s">
        <v>60</v>
      </c>
      <c r="G27" s="16" t="s">
        <v>61</v>
      </c>
      <c r="H27" s="16" t="s">
        <v>62</v>
      </c>
    </row>
    <row r="28" customFormat="false" ht="15" hidden="false" customHeight="false" outlineLevel="0" collapsed="false">
      <c r="B28" s="17" t="s">
        <v>43</v>
      </c>
      <c r="C28" s="19" t="n">
        <f aca="false">IFERROR(E14*$C$7,0)</f>
        <v>0</v>
      </c>
      <c r="D28" s="19" t="n">
        <f aca="false">IFERROR(H14*$C$7,0)</f>
        <v>0</v>
      </c>
      <c r="E28" s="20" t="n">
        <f aca="false">C28+D28</f>
        <v>0</v>
      </c>
      <c r="F28" s="20" t="n">
        <f aca="false">IFERROR(C14,0)+IFERROR(F14,0)+E28</f>
        <v>0</v>
      </c>
      <c r="G28" s="19" t="n">
        <f aca="false">IFERROR(C14,0)+IFERROR(F14,0)</f>
        <v>0</v>
      </c>
      <c r="H28" s="21" t="s">
        <v>63</v>
      </c>
    </row>
    <row r="29" customFormat="false" ht="15" hidden="false" customHeight="false" outlineLevel="0" collapsed="false">
      <c r="B29" s="17" t="s">
        <v>44</v>
      </c>
      <c r="C29" s="19" t="n">
        <f aca="false">IFERROR(E15*$C$7,0)</f>
        <v>0</v>
      </c>
      <c r="D29" s="19" t="n">
        <f aca="false">IFERROR(H15*$C$7,0)</f>
        <v>0</v>
      </c>
      <c r="E29" s="20" t="n">
        <f aca="false">C29+D29</f>
        <v>0</v>
      </c>
      <c r="F29" s="20" t="n">
        <f aca="false">IFERROR(C15,0)+IFERROR(F15,0)+E29</f>
        <v>0</v>
      </c>
      <c r="G29" s="19" t="n">
        <f aca="false">IFERROR(C15,0)+IFERROR(F15,0)</f>
        <v>0</v>
      </c>
      <c r="H29" s="21"/>
    </row>
    <row r="30" customFormat="false" ht="15" hidden="false" customHeight="false" outlineLevel="0" collapsed="false">
      <c r="B30" s="17" t="s">
        <v>45</v>
      </c>
      <c r="C30" s="19" t="n">
        <f aca="false">IFERROR(E16*$C$7,0)</f>
        <v>0</v>
      </c>
      <c r="D30" s="19" t="n">
        <f aca="false">IFERROR(H16*$C$7,0)</f>
        <v>0</v>
      </c>
      <c r="E30" s="20" t="n">
        <f aca="false">C30+D30</f>
        <v>0</v>
      </c>
      <c r="F30" s="20" t="n">
        <f aca="false">IFERROR(C16,0)+IFERROR(F16,0)+E30</f>
        <v>0</v>
      </c>
      <c r="G30" s="19" t="n">
        <f aca="false">IFERROR(C16,0)+IFERROR(F16,0)</f>
        <v>0</v>
      </c>
      <c r="H30" s="21"/>
    </row>
    <row r="31" customFormat="false" ht="15" hidden="false" customHeight="false" outlineLevel="0" collapsed="false">
      <c r="B31" s="22" t="s">
        <v>64</v>
      </c>
      <c r="C31" s="23" t="n">
        <f aca="false">SUM(C28:C30)</f>
        <v>0</v>
      </c>
      <c r="D31" s="23" t="n">
        <f aca="false">SUM(D28:D30)</f>
        <v>0</v>
      </c>
      <c r="E31" s="23" t="n">
        <f aca="false">SUM(E28:E30)</f>
        <v>0</v>
      </c>
      <c r="F31" s="23" t="n">
        <f aca="false">SUM(F28:F30)</f>
        <v>0</v>
      </c>
      <c r="G31" s="23" t="n">
        <f aca="false">SUM(G28:G30)</f>
        <v>0</v>
      </c>
      <c r="H31" s="24"/>
    </row>
    <row r="32" customFormat="false" ht="15" hidden="false" customHeight="false" outlineLevel="0" collapsed="false">
      <c r="B32" s="17" t="s">
        <v>65</v>
      </c>
      <c r="C32" s="19" t="n">
        <f aca="false">IFERROR('Cash Buckets'!F13,0)</f>
        <v>0</v>
      </c>
      <c r="D32" s="19" t="n">
        <v>0</v>
      </c>
      <c r="E32" s="20" t="n">
        <f aca="false">C32</f>
        <v>0</v>
      </c>
      <c r="F32" s="20" t="n">
        <f aca="false">IFERROR(C10,0)+C32</f>
        <v>0</v>
      </c>
      <c r="G32" s="19" t="n">
        <f aca="false">IFERROR(C10,0)</f>
        <v>0</v>
      </c>
      <c r="H32" s="21" t="s">
        <v>66</v>
      </c>
    </row>
    <row r="33" customFormat="false" ht="15" hidden="false" customHeight="false" outlineLevel="0" collapsed="false">
      <c r="B33" s="25" t="s">
        <v>67</v>
      </c>
      <c r="C33" s="23" t="n">
        <f aca="false">C31+C32</f>
        <v>0</v>
      </c>
      <c r="D33" s="23" t="n">
        <f aca="false">D31+D32</f>
        <v>0</v>
      </c>
      <c r="E33" s="23" t="n">
        <f aca="false">E31+E32</f>
        <v>0</v>
      </c>
      <c r="F33" s="23" t="n">
        <f aca="false">F31+F32</f>
        <v>0</v>
      </c>
      <c r="G33" s="23" t="n">
        <f aca="false">G31+G32</f>
        <v>0</v>
      </c>
      <c r="H33" s="26" t="s">
        <v>68</v>
      </c>
    </row>
    <row r="35" customFormat="false" ht="24" hidden="false" customHeight="true" outlineLevel="0" collapsed="false">
      <c r="B35" s="6" t="s">
        <v>69</v>
      </c>
      <c r="C35" s="6"/>
      <c r="D35" s="6"/>
      <c r="E35" s="6"/>
      <c r="F35" s="6"/>
      <c r="G35" s="6"/>
      <c r="H35" s="6"/>
    </row>
    <row r="36" customFormat="false" ht="30" hidden="false" customHeight="true" outlineLevel="0" collapsed="false">
      <c r="B36" s="16" t="s">
        <v>70</v>
      </c>
      <c r="C36" s="16" t="s">
        <v>71</v>
      </c>
      <c r="D36" s="16" t="s">
        <v>72</v>
      </c>
      <c r="E36" s="16" t="s">
        <v>73</v>
      </c>
      <c r="F36" s="27" t="s">
        <v>74</v>
      </c>
      <c r="G36" s="27"/>
      <c r="H36" s="27"/>
    </row>
    <row r="37" customFormat="false" ht="15" hidden="false" customHeight="false" outlineLevel="0" collapsed="false">
      <c r="B37" s="11" t="s">
        <v>75</v>
      </c>
      <c r="C37" s="19" t="n">
        <f aca="false">F29</f>
        <v>0</v>
      </c>
      <c r="D37" s="19" t="n">
        <f aca="false">C20</f>
        <v>0</v>
      </c>
      <c r="E37" s="28" t="n">
        <f aca="false">IF(OR(D37="",D37=0),0,C37/D37)</f>
        <v>0</v>
      </c>
      <c r="F37" s="29" t="n">
        <f aca="false">E37</f>
        <v>0</v>
      </c>
      <c r="G37" s="29"/>
      <c r="H37" s="29"/>
    </row>
    <row r="38" customFormat="false" ht="15" hidden="false" customHeight="false" outlineLevel="0" collapsed="false">
      <c r="B38" s="11" t="s">
        <v>76</v>
      </c>
      <c r="C38" s="19" t="n">
        <f aca="false">F32</f>
        <v>0</v>
      </c>
      <c r="D38" s="19" t="n">
        <f aca="false">C21</f>
        <v>0</v>
      </c>
      <c r="E38" s="28" t="n">
        <f aca="false">IF(OR(D38="",D38=0),0,C38/D38)</f>
        <v>0</v>
      </c>
      <c r="F38" s="29" t="n">
        <f aca="false">E38</f>
        <v>0</v>
      </c>
      <c r="G38" s="29"/>
      <c r="H38" s="29"/>
    </row>
    <row r="39" customFormat="false" ht="15" hidden="false" customHeight="false" outlineLevel="0" collapsed="false">
      <c r="B39" s="11" t="s">
        <v>77</v>
      </c>
      <c r="C39" s="19" t="n">
        <f aca="false">F28+F30</f>
        <v>0</v>
      </c>
      <c r="D39" s="19" t="n">
        <f aca="false">C22</f>
        <v>0</v>
      </c>
      <c r="E39" s="28" t="n">
        <f aca="false">IF(OR(D39="",D39=0),0,C39/D39)</f>
        <v>0</v>
      </c>
      <c r="F39" s="29" t="n">
        <f aca="false">E39</f>
        <v>0</v>
      </c>
      <c r="G39" s="29"/>
      <c r="H39" s="29"/>
    </row>
    <row r="41" customFormat="false" ht="24" hidden="false" customHeight="true" outlineLevel="0" collapsed="false">
      <c r="B41" s="6" t="s">
        <v>78</v>
      </c>
      <c r="C41" s="6"/>
      <c r="D41" s="6"/>
      <c r="E41" s="6"/>
      <c r="F41" s="6"/>
      <c r="G41" s="6"/>
      <c r="H41" s="6"/>
    </row>
    <row r="42" customFormat="false" ht="24" hidden="false" customHeight="true" outlineLevel="0" collapsed="false">
      <c r="B42" s="5" t="s">
        <v>79</v>
      </c>
      <c r="C42" s="5"/>
      <c r="D42" s="5"/>
      <c r="E42" s="5"/>
      <c r="F42" s="5"/>
      <c r="G42" s="5"/>
      <c r="H42" s="5"/>
    </row>
    <row r="43" customFormat="false" ht="24" hidden="false" customHeight="true" outlineLevel="0" collapsed="false">
      <c r="B43" s="5" t="s">
        <v>80</v>
      </c>
      <c r="C43" s="5"/>
      <c r="D43" s="5"/>
      <c r="E43" s="5"/>
      <c r="F43" s="5"/>
      <c r="G43" s="5"/>
      <c r="H43" s="5"/>
    </row>
    <row r="44" customFormat="false" ht="24" hidden="false" customHeight="true" outlineLevel="0" collapsed="false">
      <c r="B44" s="5" t="s">
        <v>81</v>
      </c>
      <c r="C44" s="5"/>
      <c r="D44" s="5"/>
      <c r="E44" s="5"/>
      <c r="F44" s="5"/>
      <c r="G44" s="5"/>
      <c r="H44" s="5"/>
    </row>
  </sheetData>
  <sheetProtection sheet="true" password="ce4b"/>
  <mergeCells count="26">
    <mergeCell ref="B2:H2"/>
    <mergeCell ref="B3:H3"/>
    <mergeCell ref="B5:H5"/>
    <mergeCell ref="D6:H6"/>
    <mergeCell ref="D7:H7"/>
    <mergeCell ref="D8:H8"/>
    <mergeCell ref="D9:H9"/>
    <mergeCell ref="D10:H10"/>
    <mergeCell ref="B12:H12"/>
    <mergeCell ref="B17:H17"/>
    <mergeCell ref="B19:H19"/>
    <mergeCell ref="D20:H20"/>
    <mergeCell ref="D21:H21"/>
    <mergeCell ref="D22:H22"/>
    <mergeCell ref="D23:H23"/>
    <mergeCell ref="D24:H24"/>
    <mergeCell ref="B26:H26"/>
    <mergeCell ref="B35:H35"/>
    <mergeCell ref="F36:H36"/>
    <mergeCell ref="F37:H37"/>
    <mergeCell ref="F38:H38"/>
    <mergeCell ref="F39:H39"/>
    <mergeCell ref="B41:H41"/>
    <mergeCell ref="B42:H42"/>
    <mergeCell ref="B43:H43"/>
    <mergeCell ref="B44:H4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S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11" min="5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9" min="14" style="0" width="15"/>
  </cols>
  <sheetData>
    <row r="2" customFormat="false" ht="26.1" hidden="false" customHeight="true" outlineLevel="0" collapsed="false">
      <c r="B2" s="1" t="s">
        <v>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true" outlineLevel="0" collapsed="false">
      <c r="B3" s="30" t="s">
        <v>83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customFormat="false" ht="25.5" hidden="false" customHeight="true" outlineLevel="0" collapsed="false">
      <c r="B4" s="31" t="s">
        <v>84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</row>
    <row r="6" customFormat="false" ht="30" hidden="false" customHeight="true" outlineLevel="0" collapsed="false">
      <c r="B6" s="16" t="s">
        <v>85</v>
      </c>
      <c r="C6" s="16" t="s">
        <v>86</v>
      </c>
      <c r="D6" s="16" t="s">
        <v>87</v>
      </c>
      <c r="E6" s="16" t="s">
        <v>88</v>
      </c>
      <c r="F6" s="16" t="s">
        <v>89</v>
      </c>
      <c r="G6" s="16" t="s">
        <v>90</v>
      </c>
      <c r="H6" s="16" t="s">
        <v>91</v>
      </c>
      <c r="I6" s="16" t="s">
        <v>92</v>
      </c>
      <c r="J6" s="16" t="s">
        <v>93</v>
      </c>
      <c r="K6" s="16" t="s">
        <v>94</v>
      </c>
      <c r="L6" s="16" t="s">
        <v>95</v>
      </c>
      <c r="M6" s="16" t="s">
        <v>96</v>
      </c>
      <c r="N6" s="16" t="s">
        <v>97</v>
      </c>
      <c r="O6" s="16" t="s">
        <v>98</v>
      </c>
      <c r="P6" s="16" t="s">
        <v>99</v>
      </c>
      <c r="Q6" s="16" t="s">
        <v>100</v>
      </c>
      <c r="R6" s="16" t="s">
        <v>101</v>
      </c>
      <c r="S6" s="16" t="s">
        <v>102</v>
      </c>
    </row>
    <row r="7" customFormat="false" ht="15.75" hidden="false" customHeight="true" outlineLevel="0" collapsed="false">
      <c r="B7" s="17" t="n">
        <v>1</v>
      </c>
      <c r="C7" s="32"/>
      <c r="D7" s="14"/>
      <c r="E7" s="33" t="n">
        <f aca="false">IFERROR('Setup &amp; Dashboard'!$E$14,0)</f>
        <v>0</v>
      </c>
      <c r="F7" s="33" t="n">
        <f aca="false">IFERROR('Setup &amp; Dashboard'!$E$15,0)</f>
        <v>0</v>
      </c>
      <c r="G7" s="33" t="n">
        <f aca="false">IFERROR('Setup &amp; Dashboard'!$E$16,0)</f>
        <v>0</v>
      </c>
      <c r="H7" s="33" t="n">
        <f aca="false">IFERROR('Setup &amp; Dashboard'!$H$14,0)</f>
        <v>0</v>
      </c>
      <c r="I7" s="33" t="n">
        <f aca="false">IFERROR('Setup &amp; Dashboard'!$H$15,0)</f>
        <v>0</v>
      </c>
      <c r="J7" s="33" t="n">
        <f aca="false">IFERROR('Setup &amp; Dashboard'!$H$16,0)</f>
        <v>0</v>
      </c>
      <c r="K7" s="33" t="n">
        <f aca="false">IFERROR('Cash Buckets'!$E$13,0)</f>
        <v>0</v>
      </c>
      <c r="L7" s="20" t="n">
        <f aca="false">SUM(E7:K7)</f>
        <v>0</v>
      </c>
      <c r="M7" s="20" t="n">
        <f aca="false">L7</f>
        <v>0</v>
      </c>
      <c r="N7" s="34" t="str">
        <f aca="false">IF(OR('Setup &amp; Dashboard'!$D$14="",'Setup &amp; Dashboard'!$D$14=0),"",IF(SUM($E$7:E7)&gt;'Setup &amp; Dashboard'!$D$14,"⚠ OVER ROOM",""))</f>
        <v/>
      </c>
      <c r="O7" s="34" t="str">
        <f aca="false">IF(OR('Setup &amp; Dashboard'!$D$15="",'Setup &amp; Dashboard'!$D$15=0),"",IF(SUM($F$7:F7)&gt;'Setup &amp; Dashboard'!$D$15,"⚠ OVER ROOM",""))</f>
        <v/>
      </c>
      <c r="P7" s="34" t="str">
        <f aca="false">IF(OR('Setup &amp; Dashboard'!$D$16="",'Setup &amp; Dashboard'!$D$16=0),"",IF(SUM($G$7:G7)&gt;'Setup &amp; Dashboard'!$D$16,"⚠ OVER ROOM",""))</f>
        <v/>
      </c>
      <c r="Q7" s="34" t="str">
        <f aca="false">IF(OR('Setup &amp; Dashboard'!$G$14="",'Setup &amp; Dashboard'!$G$14=0),"",IF(SUM($H$7:H7)&gt;'Setup &amp; Dashboard'!$G$14,"⚠ OVER ROOM",""))</f>
        <v/>
      </c>
      <c r="R7" s="34" t="str">
        <f aca="false">IF(OR('Setup &amp; Dashboard'!$G$15="",'Setup &amp; Dashboard'!$G$15=0),"",IF(SUM($I$7:I7)&gt;'Setup &amp; Dashboard'!$G$15,"⚠ OVER ROOM",""))</f>
        <v/>
      </c>
      <c r="S7" s="34" t="str">
        <f aca="false">IF(OR('Setup &amp; Dashboard'!$G$16="",'Setup &amp; Dashboard'!$G$16=0),"",IF(SUM($J$7:J7)&gt;'Setup &amp; Dashboard'!$G$16,"⚠ OVER ROOM",""))</f>
        <v/>
      </c>
    </row>
    <row r="8" customFormat="false" ht="15.75" hidden="false" customHeight="true" outlineLevel="0" collapsed="false">
      <c r="B8" s="17" t="n">
        <v>2</v>
      </c>
      <c r="C8" s="32"/>
      <c r="D8" s="14"/>
      <c r="E8" s="33" t="n">
        <f aca="false">IFERROR('Setup &amp; Dashboard'!$E$14,0)</f>
        <v>0</v>
      </c>
      <c r="F8" s="33" t="n">
        <f aca="false">IFERROR('Setup &amp; Dashboard'!$E$15,0)</f>
        <v>0</v>
      </c>
      <c r="G8" s="33" t="n">
        <f aca="false">IFERROR('Setup &amp; Dashboard'!$E$16,0)</f>
        <v>0</v>
      </c>
      <c r="H8" s="33" t="n">
        <f aca="false">IFERROR('Setup &amp; Dashboard'!$H$14,0)</f>
        <v>0</v>
      </c>
      <c r="I8" s="33" t="n">
        <f aca="false">IFERROR('Setup &amp; Dashboard'!$H$15,0)</f>
        <v>0</v>
      </c>
      <c r="J8" s="33" t="n">
        <f aca="false">IFERROR('Setup &amp; Dashboard'!$H$16,0)</f>
        <v>0</v>
      </c>
      <c r="K8" s="33" t="n">
        <f aca="false">IFERROR('Cash Buckets'!$E$13,0)</f>
        <v>0</v>
      </c>
      <c r="L8" s="20" t="n">
        <f aca="false">SUM(E8:K8)</f>
        <v>0</v>
      </c>
      <c r="M8" s="20" t="n">
        <f aca="false">M7+L8</f>
        <v>0</v>
      </c>
      <c r="N8" s="34" t="str">
        <f aca="false">IF(OR('Setup &amp; Dashboard'!$D$14="",'Setup &amp; Dashboard'!$D$14=0),"",IF(SUM($E$7:E8)&gt;'Setup &amp; Dashboard'!$D$14,"⚠ OVER ROOM",""))</f>
        <v/>
      </c>
      <c r="O8" s="34" t="str">
        <f aca="false">IF(OR('Setup &amp; Dashboard'!$D$15="",'Setup &amp; Dashboard'!$D$15=0),"",IF(SUM($F$7:F8)&gt;'Setup &amp; Dashboard'!$D$15,"⚠ OVER ROOM",""))</f>
        <v/>
      </c>
      <c r="P8" s="34" t="str">
        <f aca="false">IF(OR('Setup &amp; Dashboard'!$D$16="",'Setup &amp; Dashboard'!$D$16=0),"",IF(SUM($G$7:G8)&gt;'Setup &amp; Dashboard'!$D$16,"⚠ OVER ROOM",""))</f>
        <v/>
      </c>
      <c r="Q8" s="34" t="str">
        <f aca="false">IF(OR('Setup &amp; Dashboard'!$G$14="",'Setup &amp; Dashboard'!$G$14=0),"",IF(SUM($H$7:H8)&gt;'Setup &amp; Dashboard'!$G$14,"⚠ OVER ROOM",""))</f>
        <v/>
      </c>
      <c r="R8" s="34" t="str">
        <f aca="false">IF(OR('Setup &amp; Dashboard'!$G$15="",'Setup &amp; Dashboard'!$G$15=0),"",IF(SUM($I$7:I8)&gt;'Setup &amp; Dashboard'!$G$15,"⚠ OVER ROOM",""))</f>
        <v/>
      </c>
      <c r="S8" s="34" t="str">
        <f aca="false">IF(OR('Setup &amp; Dashboard'!$G$16="",'Setup &amp; Dashboard'!$G$16=0),"",IF(SUM($J$7:J8)&gt;'Setup &amp; Dashboard'!$G$16,"⚠ OVER ROOM",""))</f>
        <v/>
      </c>
    </row>
    <row r="9" customFormat="false" ht="15.75" hidden="false" customHeight="true" outlineLevel="0" collapsed="false">
      <c r="B9" s="17" t="n">
        <v>3</v>
      </c>
      <c r="C9" s="32"/>
      <c r="D9" s="14"/>
      <c r="E9" s="33" t="n">
        <f aca="false">IFERROR('Setup &amp; Dashboard'!$E$14,0)</f>
        <v>0</v>
      </c>
      <c r="F9" s="33" t="n">
        <f aca="false">IFERROR('Setup &amp; Dashboard'!$E$15,0)</f>
        <v>0</v>
      </c>
      <c r="G9" s="33" t="n">
        <f aca="false">IFERROR('Setup &amp; Dashboard'!$E$16,0)</f>
        <v>0</v>
      </c>
      <c r="H9" s="33" t="n">
        <f aca="false">IFERROR('Setup &amp; Dashboard'!$H$14,0)</f>
        <v>0</v>
      </c>
      <c r="I9" s="33" t="n">
        <f aca="false">IFERROR('Setup &amp; Dashboard'!$H$15,0)</f>
        <v>0</v>
      </c>
      <c r="J9" s="33" t="n">
        <f aca="false">IFERROR('Setup &amp; Dashboard'!$H$16,0)</f>
        <v>0</v>
      </c>
      <c r="K9" s="33" t="n">
        <f aca="false">IFERROR('Cash Buckets'!$E$13,0)</f>
        <v>0</v>
      </c>
      <c r="L9" s="20" t="n">
        <f aca="false">SUM(E9:K9)</f>
        <v>0</v>
      </c>
      <c r="M9" s="20" t="n">
        <f aca="false">M8+L9</f>
        <v>0</v>
      </c>
      <c r="N9" s="34" t="str">
        <f aca="false">IF(OR('Setup &amp; Dashboard'!$D$14="",'Setup &amp; Dashboard'!$D$14=0),"",IF(SUM($E$7:E9)&gt;'Setup &amp; Dashboard'!$D$14,"⚠ OVER ROOM",""))</f>
        <v/>
      </c>
      <c r="O9" s="34" t="str">
        <f aca="false">IF(OR('Setup &amp; Dashboard'!$D$15="",'Setup &amp; Dashboard'!$D$15=0),"",IF(SUM($F$7:F9)&gt;'Setup &amp; Dashboard'!$D$15,"⚠ OVER ROOM",""))</f>
        <v/>
      </c>
      <c r="P9" s="34" t="str">
        <f aca="false">IF(OR('Setup &amp; Dashboard'!$D$16="",'Setup &amp; Dashboard'!$D$16=0),"",IF(SUM($G$7:G9)&gt;'Setup &amp; Dashboard'!$D$16,"⚠ OVER ROOM",""))</f>
        <v/>
      </c>
      <c r="Q9" s="34" t="str">
        <f aca="false">IF(OR('Setup &amp; Dashboard'!$G$14="",'Setup &amp; Dashboard'!$G$14=0),"",IF(SUM($H$7:H9)&gt;'Setup &amp; Dashboard'!$G$14,"⚠ OVER ROOM",""))</f>
        <v/>
      </c>
      <c r="R9" s="34" t="str">
        <f aca="false">IF(OR('Setup &amp; Dashboard'!$G$15="",'Setup &amp; Dashboard'!$G$15=0),"",IF(SUM($I$7:I9)&gt;'Setup &amp; Dashboard'!$G$15,"⚠ OVER ROOM",""))</f>
        <v/>
      </c>
      <c r="S9" s="34" t="str">
        <f aca="false">IF(OR('Setup &amp; Dashboard'!$G$16="",'Setup &amp; Dashboard'!$G$16=0),"",IF(SUM($J$7:J9)&gt;'Setup &amp; Dashboard'!$G$16,"⚠ OVER ROOM",""))</f>
        <v/>
      </c>
    </row>
    <row r="10" customFormat="false" ht="15.75" hidden="false" customHeight="true" outlineLevel="0" collapsed="false">
      <c r="B10" s="17" t="n">
        <v>4</v>
      </c>
      <c r="C10" s="32"/>
      <c r="D10" s="14"/>
      <c r="E10" s="33" t="n">
        <f aca="false">IFERROR('Setup &amp; Dashboard'!$E$14,0)</f>
        <v>0</v>
      </c>
      <c r="F10" s="33" t="n">
        <f aca="false">IFERROR('Setup &amp; Dashboard'!$E$15,0)</f>
        <v>0</v>
      </c>
      <c r="G10" s="33" t="n">
        <f aca="false">IFERROR('Setup &amp; Dashboard'!$E$16,0)</f>
        <v>0</v>
      </c>
      <c r="H10" s="33" t="n">
        <f aca="false">IFERROR('Setup &amp; Dashboard'!$H$14,0)</f>
        <v>0</v>
      </c>
      <c r="I10" s="33" t="n">
        <f aca="false">IFERROR('Setup &amp; Dashboard'!$H$15,0)</f>
        <v>0</v>
      </c>
      <c r="J10" s="33" t="n">
        <f aca="false">IFERROR('Setup &amp; Dashboard'!$H$16,0)</f>
        <v>0</v>
      </c>
      <c r="K10" s="33" t="n">
        <f aca="false">IFERROR('Cash Buckets'!$E$13,0)</f>
        <v>0</v>
      </c>
      <c r="L10" s="20" t="n">
        <f aca="false">SUM(E10:K10)</f>
        <v>0</v>
      </c>
      <c r="M10" s="20" t="n">
        <f aca="false">M9+L10</f>
        <v>0</v>
      </c>
      <c r="N10" s="34" t="str">
        <f aca="false">IF(OR('Setup &amp; Dashboard'!$D$14="",'Setup &amp; Dashboard'!$D$14=0),"",IF(SUM($E$7:E10)&gt;'Setup &amp; Dashboard'!$D$14,"⚠ OVER ROOM",""))</f>
        <v/>
      </c>
      <c r="O10" s="34" t="str">
        <f aca="false">IF(OR('Setup &amp; Dashboard'!$D$15="",'Setup &amp; Dashboard'!$D$15=0),"",IF(SUM($F$7:F10)&gt;'Setup &amp; Dashboard'!$D$15,"⚠ OVER ROOM",""))</f>
        <v/>
      </c>
      <c r="P10" s="34" t="str">
        <f aca="false">IF(OR('Setup &amp; Dashboard'!$D$16="",'Setup &amp; Dashboard'!$D$16=0),"",IF(SUM($G$7:G10)&gt;'Setup &amp; Dashboard'!$D$16,"⚠ OVER ROOM",""))</f>
        <v/>
      </c>
      <c r="Q10" s="34" t="str">
        <f aca="false">IF(OR('Setup &amp; Dashboard'!$G$14="",'Setup &amp; Dashboard'!$G$14=0),"",IF(SUM($H$7:H10)&gt;'Setup &amp; Dashboard'!$G$14,"⚠ OVER ROOM",""))</f>
        <v/>
      </c>
      <c r="R10" s="34" t="str">
        <f aca="false">IF(OR('Setup &amp; Dashboard'!$G$15="",'Setup &amp; Dashboard'!$G$15=0),"",IF(SUM($I$7:I10)&gt;'Setup &amp; Dashboard'!$G$15,"⚠ OVER ROOM",""))</f>
        <v/>
      </c>
      <c r="S10" s="34" t="str">
        <f aca="false">IF(OR('Setup &amp; Dashboard'!$G$16="",'Setup &amp; Dashboard'!$G$16=0),"",IF(SUM($J$7:J10)&gt;'Setup &amp; Dashboard'!$G$16,"⚠ OVER ROOM",""))</f>
        <v/>
      </c>
    </row>
    <row r="11" customFormat="false" ht="15.75" hidden="false" customHeight="true" outlineLevel="0" collapsed="false">
      <c r="B11" s="17" t="n">
        <v>5</v>
      </c>
      <c r="C11" s="32"/>
      <c r="D11" s="14"/>
      <c r="E11" s="33" t="n">
        <f aca="false">IFERROR('Setup &amp; Dashboard'!$E$14,0)</f>
        <v>0</v>
      </c>
      <c r="F11" s="33" t="n">
        <f aca="false">IFERROR('Setup &amp; Dashboard'!$E$15,0)</f>
        <v>0</v>
      </c>
      <c r="G11" s="33" t="n">
        <f aca="false">IFERROR('Setup &amp; Dashboard'!$E$16,0)</f>
        <v>0</v>
      </c>
      <c r="H11" s="33" t="n">
        <f aca="false">IFERROR('Setup &amp; Dashboard'!$H$14,0)</f>
        <v>0</v>
      </c>
      <c r="I11" s="33" t="n">
        <f aca="false">IFERROR('Setup &amp; Dashboard'!$H$15,0)</f>
        <v>0</v>
      </c>
      <c r="J11" s="33" t="n">
        <f aca="false">IFERROR('Setup &amp; Dashboard'!$H$16,0)</f>
        <v>0</v>
      </c>
      <c r="K11" s="33" t="n">
        <f aca="false">IFERROR('Cash Buckets'!$E$13,0)</f>
        <v>0</v>
      </c>
      <c r="L11" s="20" t="n">
        <f aca="false">SUM(E11:K11)</f>
        <v>0</v>
      </c>
      <c r="M11" s="20" t="n">
        <f aca="false">M10+L11</f>
        <v>0</v>
      </c>
      <c r="N11" s="34" t="str">
        <f aca="false">IF(OR('Setup &amp; Dashboard'!$D$14="",'Setup &amp; Dashboard'!$D$14=0),"",IF(SUM($E$7:E11)&gt;'Setup &amp; Dashboard'!$D$14,"⚠ OVER ROOM",""))</f>
        <v/>
      </c>
      <c r="O11" s="34" t="str">
        <f aca="false">IF(OR('Setup &amp; Dashboard'!$D$15="",'Setup &amp; Dashboard'!$D$15=0),"",IF(SUM($F$7:F11)&gt;'Setup &amp; Dashboard'!$D$15,"⚠ OVER ROOM",""))</f>
        <v/>
      </c>
      <c r="P11" s="34" t="str">
        <f aca="false">IF(OR('Setup &amp; Dashboard'!$D$16="",'Setup &amp; Dashboard'!$D$16=0),"",IF(SUM($G$7:G11)&gt;'Setup &amp; Dashboard'!$D$16,"⚠ OVER ROOM",""))</f>
        <v/>
      </c>
      <c r="Q11" s="34" t="str">
        <f aca="false">IF(OR('Setup &amp; Dashboard'!$G$14="",'Setup &amp; Dashboard'!$G$14=0),"",IF(SUM($H$7:H11)&gt;'Setup &amp; Dashboard'!$G$14,"⚠ OVER ROOM",""))</f>
        <v/>
      </c>
      <c r="R11" s="34" t="str">
        <f aca="false">IF(OR('Setup &amp; Dashboard'!$G$15="",'Setup &amp; Dashboard'!$G$15=0),"",IF(SUM($I$7:I11)&gt;'Setup &amp; Dashboard'!$G$15,"⚠ OVER ROOM",""))</f>
        <v/>
      </c>
      <c r="S11" s="34" t="str">
        <f aca="false">IF(OR('Setup &amp; Dashboard'!$G$16="",'Setup &amp; Dashboard'!$G$16=0),"",IF(SUM($J$7:J11)&gt;'Setup &amp; Dashboard'!$G$16,"⚠ OVER ROOM",""))</f>
        <v/>
      </c>
    </row>
    <row r="12" customFormat="false" ht="15.75" hidden="false" customHeight="true" outlineLevel="0" collapsed="false">
      <c r="B12" s="17" t="n">
        <v>6</v>
      </c>
      <c r="C12" s="32"/>
      <c r="D12" s="14"/>
      <c r="E12" s="33" t="n">
        <f aca="false">IFERROR('Setup &amp; Dashboard'!$E$14,0)</f>
        <v>0</v>
      </c>
      <c r="F12" s="33" t="n">
        <f aca="false">IFERROR('Setup &amp; Dashboard'!$E$15,0)</f>
        <v>0</v>
      </c>
      <c r="G12" s="33" t="n">
        <f aca="false">IFERROR('Setup &amp; Dashboard'!$E$16,0)</f>
        <v>0</v>
      </c>
      <c r="H12" s="33" t="n">
        <f aca="false">IFERROR('Setup &amp; Dashboard'!$H$14,0)</f>
        <v>0</v>
      </c>
      <c r="I12" s="33" t="n">
        <f aca="false">IFERROR('Setup &amp; Dashboard'!$H$15,0)</f>
        <v>0</v>
      </c>
      <c r="J12" s="33" t="n">
        <f aca="false">IFERROR('Setup &amp; Dashboard'!$H$16,0)</f>
        <v>0</v>
      </c>
      <c r="K12" s="33" t="n">
        <f aca="false">IFERROR('Cash Buckets'!$E$13,0)</f>
        <v>0</v>
      </c>
      <c r="L12" s="20" t="n">
        <f aca="false">SUM(E12:K12)</f>
        <v>0</v>
      </c>
      <c r="M12" s="20" t="n">
        <f aca="false">M11+L12</f>
        <v>0</v>
      </c>
      <c r="N12" s="34" t="str">
        <f aca="false">IF(OR('Setup &amp; Dashboard'!$D$14="",'Setup &amp; Dashboard'!$D$14=0),"",IF(SUM($E$7:E12)&gt;'Setup &amp; Dashboard'!$D$14,"⚠ OVER ROOM",""))</f>
        <v/>
      </c>
      <c r="O12" s="34" t="str">
        <f aca="false">IF(OR('Setup &amp; Dashboard'!$D$15="",'Setup &amp; Dashboard'!$D$15=0),"",IF(SUM($F$7:F12)&gt;'Setup &amp; Dashboard'!$D$15,"⚠ OVER ROOM",""))</f>
        <v/>
      </c>
      <c r="P12" s="34" t="str">
        <f aca="false">IF(OR('Setup &amp; Dashboard'!$D$16="",'Setup &amp; Dashboard'!$D$16=0),"",IF(SUM($G$7:G12)&gt;'Setup &amp; Dashboard'!$D$16,"⚠ OVER ROOM",""))</f>
        <v/>
      </c>
      <c r="Q12" s="34" t="str">
        <f aca="false">IF(OR('Setup &amp; Dashboard'!$G$14="",'Setup &amp; Dashboard'!$G$14=0),"",IF(SUM($H$7:H12)&gt;'Setup &amp; Dashboard'!$G$14,"⚠ OVER ROOM",""))</f>
        <v/>
      </c>
      <c r="R12" s="34" t="str">
        <f aca="false">IF(OR('Setup &amp; Dashboard'!$G$15="",'Setup &amp; Dashboard'!$G$15=0),"",IF(SUM($I$7:I12)&gt;'Setup &amp; Dashboard'!$G$15,"⚠ OVER ROOM",""))</f>
        <v/>
      </c>
      <c r="S12" s="34" t="str">
        <f aca="false">IF(OR('Setup &amp; Dashboard'!$G$16="",'Setup &amp; Dashboard'!$G$16=0),"",IF(SUM($J$7:J12)&gt;'Setup &amp; Dashboard'!$G$16,"⚠ OVER ROOM",""))</f>
        <v/>
      </c>
    </row>
    <row r="13" customFormat="false" ht="15.75" hidden="false" customHeight="true" outlineLevel="0" collapsed="false">
      <c r="B13" s="17" t="n">
        <v>7</v>
      </c>
      <c r="C13" s="32"/>
      <c r="D13" s="14"/>
      <c r="E13" s="33" t="n">
        <f aca="false">IFERROR('Setup &amp; Dashboard'!$E$14,0)</f>
        <v>0</v>
      </c>
      <c r="F13" s="33" t="n">
        <f aca="false">IFERROR('Setup &amp; Dashboard'!$E$15,0)</f>
        <v>0</v>
      </c>
      <c r="G13" s="33" t="n">
        <f aca="false">IFERROR('Setup &amp; Dashboard'!$E$16,0)</f>
        <v>0</v>
      </c>
      <c r="H13" s="33" t="n">
        <f aca="false">IFERROR('Setup &amp; Dashboard'!$H$14,0)</f>
        <v>0</v>
      </c>
      <c r="I13" s="33" t="n">
        <f aca="false">IFERROR('Setup &amp; Dashboard'!$H$15,0)</f>
        <v>0</v>
      </c>
      <c r="J13" s="33" t="n">
        <f aca="false">IFERROR('Setup &amp; Dashboard'!$H$16,0)</f>
        <v>0</v>
      </c>
      <c r="K13" s="33" t="n">
        <f aca="false">IFERROR('Cash Buckets'!$E$13,0)</f>
        <v>0</v>
      </c>
      <c r="L13" s="20" t="n">
        <f aca="false">SUM(E13:K13)</f>
        <v>0</v>
      </c>
      <c r="M13" s="20" t="n">
        <f aca="false">M12+L13</f>
        <v>0</v>
      </c>
      <c r="N13" s="34" t="str">
        <f aca="false">IF(OR('Setup &amp; Dashboard'!$D$14="",'Setup &amp; Dashboard'!$D$14=0),"",IF(SUM($E$7:E13)&gt;'Setup &amp; Dashboard'!$D$14,"⚠ OVER ROOM",""))</f>
        <v/>
      </c>
      <c r="O13" s="34" t="str">
        <f aca="false">IF(OR('Setup &amp; Dashboard'!$D$15="",'Setup &amp; Dashboard'!$D$15=0),"",IF(SUM($F$7:F13)&gt;'Setup &amp; Dashboard'!$D$15,"⚠ OVER ROOM",""))</f>
        <v/>
      </c>
      <c r="P13" s="34" t="str">
        <f aca="false">IF(OR('Setup &amp; Dashboard'!$D$16="",'Setup &amp; Dashboard'!$D$16=0),"",IF(SUM($G$7:G13)&gt;'Setup &amp; Dashboard'!$D$16,"⚠ OVER ROOM",""))</f>
        <v/>
      </c>
      <c r="Q13" s="34" t="str">
        <f aca="false">IF(OR('Setup &amp; Dashboard'!$G$14="",'Setup &amp; Dashboard'!$G$14=0),"",IF(SUM($H$7:H13)&gt;'Setup &amp; Dashboard'!$G$14,"⚠ OVER ROOM",""))</f>
        <v/>
      </c>
      <c r="R13" s="34" t="str">
        <f aca="false">IF(OR('Setup &amp; Dashboard'!$G$15="",'Setup &amp; Dashboard'!$G$15=0),"",IF(SUM($I$7:I13)&gt;'Setup &amp; Dashboard'!$G$15,"⚠ OVER ROOM",""))</f>
        <v/>
      </c>
      <c r="S13" s="34" t="str">
        <f aca="false">IF(OR('Setup &amp; Dashboard'!$G$16="",'Setup &amp; Dashboard'!$G$16=0),"",IF(SUM($J$7:J13)&gt;'Setup &amp; Dashboard'!$G$16,"⚠ OVER ROOM",""))</f>
        <v/>
      </c>
    </row>
    <row r="14" customFormat="false" ht="15.75" hidden="false" customHeight="true" outlineLevel="0" collapsed="false">
      <c r="B14" s="17" t="n">
        <v>8</v>
      </c>
      <c r="C14" s="32"/>
      <c r="D14" s="14"/>
      <c r="E14" s="33" t="n">
        <f aca="false">IFERROR('Setup &amp; Dashboard'!$E$14,0)</f>
        <v>0</v>
      </c>
      <c r="F14" s="33" t="n">
        <f aca="false">IFERROR('Setup &amp; Dashboard'!$E$15,0)</f>
        <v>0</v>
      </c>
      <c r="G14" s="33" t="n">
        <f aca="false">IFERROR('Setup &amp; Dashboard'!$E$16,0)</f>
        <v>0</v>
      </c>
      <c r="H14" s="33" t="n">
        <f aca="false">IFERROR('Setup &amp; Dashboard'!$H$14,0)</f>
        <v>0</v>
      </c>
      <c r="I14" s="33" t="n">
        <f aca="false">IFERROR('Setup &amp; Dashboard'!$H$15,0)</f>
        <v>0</v>
      </c>
      <c r="J14" s="33" t="n">
        <f aca="false">IFERROR('Setup &amp; Dashboard'!$H$16,0)</f>
        <v>0</v>
      </c>
      <c r="K14" s="33" t="n">
        <f aca="false">IFERROR('Cash Buckets'!$E$13,0)</f>
        <v>0</v>
      </c>
      <c r="L14" s="20" t="n">
        <f aca="false">SUM(E14:K14)</f>
        <v>0</v>
      </c>
      <c r="M14" s="20" t="n">
        <f aca="false">M13+L14</f>
        <v>0</v>
      </c>
      <c r="N14" s="34" t="str">
        <f aca="false">IF(OR('Setup &amp; Dashboard'!$D$14="",'Setup &amp; Dashboard'!$D$14=0),"",IF(SUM($E$7:E14)&gt;'Setup &amp; Dashboard'!$D$14,"⚠ OVER ROOM",""))</f>
        <v/>
      </c>
      <c r="O14" s="34" t="str">
        <f aca="false">IF(OR('Setup &amp; Dashboard'!$D$15="",'Setup &amp; Dashboard'!$D$15=0),"",IF(SUM($F$7:F14)&gt;'Setup &amp; Dashboard'!$D$15,"⚠ OVER ROOM",""))</f>
        <v/>
      </c>
      <c r="P14" s="34" t="str">
        <f aca="false">IF(OR('Setup &amp; Dashboard'!$D$16="",'Setup &amp; Dashboard'!$D$16=0),"",IF(SUM($G$7:G14)&gt;'Setup &amp; Dashboard'!$D$16,"⚠ OVER ROOM",""))</f>
        <v/>
      </c>
      <c r="Q14" s="34" t="str">
        <f aca="false">IF(OR('Setup &amp; Dashboard'!$G$14="",'Setup &amp; Dashboard'!$G$14=0),"",IF(SUM($H$7:H14)&gt;'Setup &amp; Dashboard'!$G$14,"⚠ OVER ROOM",""))</f>
        <v/>
      </c>
      <c r="R14" s="34" t="str">
        <f aca="false">IF(OR('Setup &amp; Dashboard'!$G$15="",'Setup &amp; Dashboard'!$G$15=0),"",IF(SUM($I$7:I14)&gt;'Setup &amp; Dashboard'!$G$15,"⚠ OVER ROOM",""))</f>
        <v/>
      </c>
      <c r="S14" s="34" t="str">
        <f aca="false">IF(OR('Setup &amp; Dashboard'!$G$16="",'Setup &amp; Dashboard'!$G$16=0),"",IF(SUM($J$7:J14)&gt;'Setup &amp; Dashboard'!$G$16,"⚠ OVER ROOM",""))</f>
        <v/>
      </c>
    </row>
    <row r="15" customFormat="false" ht="15.75" hidden="false" customHeight="true" outlineLevel="0" collapsed="false">
      <c r="B15" s="17" t="n">
        <v>9</v>
      </c>
      <c r="C15" s="32"/>
      <c r="D15" s="14"/>
      <c r="E15" s="33" t="n">
        <f aca="false">IFERROR('Setup &amp; Dashboard'!$E$14,0)</f>
        <v>0</v>
      </c>
      <c r="F15" s="33" t="n">
        <f aca="false">IFERROR('Setup &amp; Dashboard'!$E$15,0)</f>
        <v>0</v>
      </c>
      <c r="G15" s="33" t="n">
        <f aca="false">IFERROR('Setup &amp; Dashboard'!$E$16,0)</f>
        <v>0</v>
      </c>
      <c r="H15" s="33" t="n">
        <f aca="false">IFERROR('Setup &amp; Dashboard'!$H$14,0)</f>
        <v>0</v>
      </c>
      <c r="I15" s="33" t="n">
        <f aca="false">IFERROR('Setup &amp; Dashboard'!$H$15,0)</f>
        <v>0</v>
      </c>
      <c r="J15" s="33" t="n">
        <f aca="false">IFERROR('Setup &amp; Dashboard'!$H$16,0)</f>
        <v>0</v>
      </c>
      <c r="K15" s="33" t="n">
        <f aca="false">IFERROR('Cash Buckets'!$E$13,0)</f>
        <v>0</v>
      </c>
      <c r="L15" s="20" t="n">
        <f aca="false">SUM(E15:K15)</f>
        <v>0</v>
      </c>
      <c r="M15" s="20" t="n">
        <f aca="false">M14+L15</f>
        <v>0</v>
      </c>
      <c r="N15" s="34" t="str">
        <f aca="false">IF(OR('Setup &amp; Dashboard'!$D$14="",'Setup &amp; Dashboard'!$D$14=0),"",IF(SUM($E$7:E15)&gt;'Setup &amp; Dashboard'!$D$14,"⚠ OVER ROOM",""))</f>
        <v/>
      </c>
      <c r="O15" s="34" t="str">
        <f aca="false">IF(OR('Setup &amp; Dashboard'!$D$15="",'Setup &amp; Dashboard'!$D$15=0),"",IF(SUM($F$7:F15)&gt;'Setup &amp; Dashboard'!$D$15,"⚠ OVER ROOM",""))</f>
        <v/>
      </c>
      <c r="P15" s="34" t="str">
        <f aca="false">IF(OR('Setup &amp; Dashboard'!$D$16="",'Setup &amp; Dashboard'!$D$16=0),"",IF(SUM($G$7:G15)&gt;'Setup &amp; Dashboard'!$D$16,"⚠ OVER ROOM",""))</f>
        <v/>
      </c>
      <c r="Q15" s="34" t="str">
        <f aca="false">IF(OR('Setup &amp; Dashboard'!$G$14="",'Setup &amp; Dashboard'!$G$14=0),"",IF(SUM($H$7:H15)&gt;'Setup &amp; Dashboard'!$G$14,"⚠ OVER ROOM",""))</f>
        <v/>
      </c>
      <c r="R15" s="34" t="str">
        <f aca="false">IF(OR('Setup &amp; Dashboard'!$G$15="",'Setup &amp; Dashboard'!$G$15=0),"",IF(SUM($I$7:I15)&gt;'Setup &amp; Dashboard'!$G$15,"⚠ OVER ROOM",""))</f>
        <v/>
      </c>
      <c r="S15" s="34" t="str">
        <f aca="false">IF(OR('Setup &amp; Dashboard'!$G$16="",'Setup &amp; Dashboard'!$G$16=0),"",IF(SUM($J$7:J15)&gt;'Setup &amp; Dashboard'!$G$16,"⚠ OVER ROOM",""))</f>
        <v/>
      </c>
    </row>
    <row r="16" customFormat="false" ht="15.75" hidden="false" customHeight="true" outlineLevel="0" collapsed="false">
      <c r="B16" s="17" t="n">
        <v>10</v>
      </c>
      <c r="C16" s="32"/>
      <c r="D16" s="14"/>
      <c r="E16" s="33" t="n">
        <f aca="false">IFERROR('Setup &amp; Dashboard'!$E$14,0)</f>
        <v>0</v>
      </c>
      <c r="F16" s="33" t="n">
        <f aca="false">IFERROR('Setup &amp; Dashboard'!$E$15,0)</f>
        <v>0</v>
      </c>
      <c r="G16" s="33" t="n">
        <f aca="false">IFERROR('Setup &amp; Dashboard'!$E$16,0)</f>
        <v>0</v>
      </c>
      <c r="H16" s="33" t="n">
        <f aca="false">IFERROR('Setup &amp; Dashboard'!$H$14,0)</f>
        <v>0</v>
      </c>
      <c r="I16" s="33" t="n">
        <f aca="false">IFERROR('Setup &amp; Dashboard'!$H$15,0)</f>
        <v>0</v>
      </c>
      <c r="J16" s="33" t="n">
        <f aca="false">IFERROR('Setup &amp; Dashboard'!$H$16,0)</f>
        <v>0</v>
      </c>
      <c r="K16" s="33" t="n">
        <f aca="false">IFERROR('Cash Buckets'!$E$13,0)</f>
        <v>0</v>
      </c>
      <c r="L16" s="20" t="n">
        <f aca="false">SUM(E16:K16)</f>
        <v>0</v>
      </c>
      <c r="M16" s="20" t="n">
        <f aca="false">M15+L16</f>
        <v>0</v>
      </c>
      <c r="N16" s="34" t="str">
        <f aca="false">IF(OR('Setup &amp; Dashboard'!$D$14="",'Setup &amp; Dashboard'!$D$14=0),"",IF(SUM($E$7:E16)&gt;'Setup &amp; Dashboard'!$D$14,"⚠ OVER ROOM",""))</f>
        <v/>
      </c>
      <c r="O16" s="34" t="str">
        <f aca="false">IF(OR('Setup &amp; Dashboard'!$D$15="",'Setup &amp; Dashboard'!$D$15=0),"",IF(SUM($F$7:F16)&gt;'Setup &amp; Dashboard'!$D$15,"⚠ OVER ROOM",""))</f>
        <v/>
      </c>
      <c r="P16" s="34" t="str">
        <f aca="false">IF(OR('Setup &amp; Dashboard'!$D$16="",'Setup &amp; Dashboard'!$D$16=0),"",IF(SUM($G$7:G16)&gt;'Setup &amp; Dashboard'!$D$16,"⚠ OVER ROOM",""))</f>
        <v/>
      </c>
      <c r="Q16" s="34" t="str">
        <f aca="false">IF(OR('Setup &amp; Dashboard'!$G$14="",'Setup &amp; Dashboard'!$G$14=0),"",IF(SUM($H$7:H16)&gt;'Setup &amp; Dashboard'!$G$14,"⚠ OVER ROOM",""))</f>
        <v/>
      </c>
      <c r="R16" s="34" t="str">
        <f aca="false">IF(OR('Setup &amp; Dashboard'!$G$15="",'Setup &amp; Dashboard'!$G$15=0),"",IF(SUM($I$7:I16)&gt;'Setup &amp; Dashboard'!$G$15,"⚠ OVER ROOM",""))</f>
        <v/>
      </c>
      <c r="S16" s="34" t="str">
        <f aca="false">IF(OR('Setup &amp; Dashboard'!$G$16="",'Setup &amp; Dashboard'!$G$16=0),"",IF(SUM($J$7:J16)&gt;'Setup &amp; Dashboard'!$G$16,"⚠ OVER ROOM",""))</f>
        <v/>
      </c>
    </row>
    <row r="17" customFormat="false" ht="15.75" hidden="false" customHeight="true" outlineLevel="0" collapsed="false">
      <c r="B17" s="17" t="n">
        <v>11</v>
      </c>
      <c r="C17" s="32"/>
      <c r="D17" s="14"/>
      <c r="E17" s="33" t="n">
        <f aca="false">IFERROR('Setup &amp; Dashboard'!$E$14,0)</f>
        <v>0</v>
      </c>
      <c r="F17" s="33" t="n">
        <f aca="false">IFERROR('Setup &amp; Dashboard'!$E$15,0)</f>
        <v>0</v>
      </c>
      <c r="G17" s="33" t="n">
        <f aca="false">IFERROR('Setup &amp; Dashboard'!$E$16,0)</f>
        <v>0</v>
      </c>
      <c r="H17" s="33" t="n">
        <f aca="false">IFERROR('Setup &amp; Dashboard'!$H$14,0)</f>
        <v>0</v>
      </c>
      <c r="I17" s="33" t="n">
        <f aca="false">IFERROR('Setup &amp; Dashboard'!$H$15,0)</f>
        <v>0</v>
      </c>
      <c r="J17" s="33" t="n">
        <f aca="false">IFERROR('Setup &amp; Dashboard'!$H$16,0)</f>
        <v>0</v>
      </c>
      <c r="K17" s="33" t="n">
        <f aca="false">IFERROR('Cash Buckets'!$E$13,0)</f>
        <v>0</v>
      </c>
      <c r="L17" s="20" t="n">
        <f aca="false">SUM(E17:K17)</f>
        <v>0</v>
      </c>
      <c r="M17" s="20" t="n">
        <f aca="false">M16+L17</f>
        <v>0</v>
      </c>
      <c r="N17" s="34" t="str">
        <f aca="false">IF(OR('Setup &amp; Dashboard'!$D$14="",'Setup &amp; Dashboard'!$D$14=0),"",IF(SUM($E$7:E17)&gt;'Setup &amp; Dashboard'!$D$14,"⚠ OVER ROOM",""))</f>
        <v/>
      </c>
      <c r="O17" s="34" t="str">
        <f aca="false">IF(OR('Setup &amp; Dashboard'!$D$15="",'Setup &amp; Dashboard'!$D$15=0),"",IF(SUM($F$7:F17)&gt;'Setup &amp; Dashboard'!$D$15,"⚠ OVER ROOM",""))</f>
        <v/>
      </c>
      <c r="P17" s="34" t="str">
        <f aca="false">IF(OR('Setup &amp; Dashboard'!$D$16="",'Setup &amp; Dashboard'!$D$16=0),"",IF(SUM($G$7:G17)&gt;'Setup &amp; Dashboard'!$D$16,"⚠ OVER ROOM",""))</f>
        <v/>
      </c>
      <c r="Q17" s="34" t="str">
        <f aca="false">IF(OR('Setup &amp; Dashboard'!$G$14="",'Setup &amp; Dashboard'!$G$14=0),"",IF(SUM($H$7:H17)&gt;'Setup &amp; Dashboard'!$G$14,"⚠ OVER ROOM",""))</f>
        <v/>
      </c>
      <c r="R17" s="34" t="str">
        <f aca="false">IF(OR('Setup &amp; Dashboard'!$G$15="",'Setup &amp; Dashboard'!$G$15=0),"",IF(SUM($I$7:I17)&gt;'Setup &amp; Dashboard'!$G$15,"⚠ OVER ROOM",""))</f>
        <v/>
      </c>
      <c r="S17" s="34" t="str">
        <f aca="false">IF(OR('Setup &amp; Dashboard'!$G$16="",'Setup &amp; Dashboard'!$G$16=0),"",IF(SUM($J$7:J17)&gt;'Setup &amp; Dashboard'!$G$16,"⚠ OVER ROOM",""))</f>
        <v/>
      </c>
    </row>
    <row r="18" customFormat="false" ht="15.75" hidden="false" customHeight="true" outlineLevel="0" collapsed="false">
      <c r="B18" s="17" t="n">
        <v>12</v>
      </c>
      <c r="C18" s="32"/>
      <c r="D18" s="14"/>
      <c r="E18" s="33" t="n">
        <f aca="false">IFERROR('Setup &amp; Dashboard'!$E$14,0)</f>
        <v>0</v>
      </c>
      <c r="F18" s="33" t="n">
        <f aca="false">IFERROR('Setup &amp; Dashboard'!$E$15,0)</f>
        <v>0</v>
      </c>
      <c r="G18" s="33" t="n">
        <f aca="false">IFERROR('Setup &amp; Dashboard'!$E$16,0)</f>
        <v>0</v>
      </c>
      <c r="H18" s="33" t="n">
        <f aca="false">IFERROR('Setup &amp; Dashboard'!$H$14,0)</f>
        <v>0</v>
      </c>
      <c r="I18" s="33" t="n">
        <f aca="false">IFERROR('Setup &amp; Dashboard'!$H$15,0)</f>
        <v>0</v>
      </c>
      <c r="J18" s="33" t="n">
        <f aca="false">IFERROR('Setup &amp; Dashboard'!$H$16,0)</f>
        <v>0</v>
      </c>
      <c r="K18" s="33" t="n">
        <f aca="false">IFERROR('Cash Buckets'!$E$13,0)</f>
        <v>0</v>
      </c>
      <c r="L18" s="20" t="n">
        <f aca="false">SUM(E18:K18)</f>
        <v>0</v>
      </c>
      <c r="M18" s="20" t="n">
        <f aca="false">M17+L18</f>
        <v>0</v>
      </c>
      <c r="N18" s="34" t="str">
        <f aca="false">IF(OR('Setup &amp; Dashboard'!$D$14="",'Setup &amp; Dashboard'!$D$14=0),"",IF(SUM($E$7:E18)&gt;'Setup &amp; Dashboard'!$D$14,"⚠ OVER ROOM",""))</f>
        <v/>
      </c>
      <c r="O18" s="34" t="str">
        <f aca="false">IF(OR('Setup &amp; Dashboard'!$D$15="",'Setup &amp; Dashboard'!$D$15=0),"",IF(SUM($F$7:F18)&gt;'Setup &amp; Dashboard'!$D$15,"⚠ OVER ROOM",""))</f>
        <v/>
      </c>
      <c r="P18" s="34" t="str">
        <f aca="false">IF(OR('Setup &amp; Dashboard'!$D$16="",'Setup &amp; Dashboard'!$D$16=0),"",IF(SUM($G$7:G18)&gt;'Setup &amp; Dashboard'!$D$16,"⚠ OVER ROOM",""))</f>
        <v/>
      </c>
      <c r="Q18" s="34" t="str">
        <f aca="false">IF(OR('Setup &amp; Dashboard'!$G$14="",'Setup &amp; Dashboard'!$G$14=0),"",IF(SUM($H$7:H18)&gt;'Setup &amp; Dashboard'!$G$14,"⚠ OVER ROOM",""))</f>
        <v/>
      </c>
      <c r="R18" s="34" t="str">
        <f aca="false">IF(OR('Setup &amp; Dashboard'!$G$15="",'Setup &amp; Dashboard'!$G$15=0),"",IF(SUM($I$7:I18)&gt;'Setup &amp; Dashboard'!$G$15,"⚠ OVER ROOM",""))</f>
        <v/>
      </c>
      <c r="S18" s="34" t="str">
        <f aca="false">IF(OR('Setup &amp; Dashboard'!$G$16="",'Setup &amp; Dashboard'!$G$16=0),"",IF(SUM($J$7:J18)&gt;'Setup &amp; Dashboard'!$G$16,"⚠ OVER ROOM",""))</f>
        <v/>
      </c>
    </row>
    <row r="19" customFormat="false" ht="15.75" hidden="false" customHeight="true" outlineLevel="0" collapsed="false">
      <c r="B19" s="17" t="n">
        <v>13</v>
      </c>
      <c r="C19" s="32"/>
      <c r="D19" s="14"/>
      <c r="E19" s="33" t="n">
        <f aca="false">IFERROR('Setup &amp; Dashboard'!$E$14,0)</f>
        <v>0</v>
      </c>
      <c r="F19" s="33" t="n">
        <f aca="false">IFERROR('Setup &amp; Dashboard'!$E$15,0)</f>
        <v>0</v>
      </c>
      <c r="G19" s="33" t="n">
        <f aca="false">IFERROR('Setup &amp; Dashboard'!$E$16,0)</f>
        <v>0</v>
      </c>
      <c r="H19" s="33" t="n">
        <f aca="false">IFERROR('Setup &amp; Dashboard'!$H$14,0)</f>
        <v>0</v>
      </c>
      <c r="I19" s="33" t="n">
        <f aca="false">IFERROR('Setup &amp; Dashboard'!$H$15,0)</f>
        <v>0</v>
      </c>
      <c r="J19" s="33" t="n">
        <f aca="false">IFERROR('Setup &amp; Dashboard'!$H$16,0)</f>
        <v>0</v>
      </c>
      <c r="K19" s="33" t="n">
        <f aca="false">IFERROR('Cash Buckets'!$E$13,0)</f>
        <v>0</v>
      </c>
      <c r="L19" s="20" t="n">
        <f aca="false">SUM(E19:K19)</f>
        <v>0</v>
      </c>
      <c r="M19" s="20" t="n">
        <f aca="false">M18+L19</f>
        <v>0</v>
      </c>
      <c r="N19" s="34" t="str">
        <f aca="false">IF(OR('Setup &amp; Dashboard'!$D$14="",'Setup &amp; Dashboard'!$D$14=0),"",IF(SUM($E$7:E19)&gt;'Setup &amp; Dashboard'!$D$14,"⚠ OVER ROOM",""))</f>
        <v/>
      </c>
      <c r="O19" s="34" t="str">
        <f aca="false">IF(OR('Setup &amp; Dashboard'!$D$15="",'Setup &amp; Dashboard'!$D$15=0),"",IF(SUM($F$7:F19)&gt;'Setup &amp; Dashboard'!$D$15,"⚠ OVER ROOM",""))</f>
        <v/>
      </c>
      <c r="P19" s="34" t="str">
        <f aca="false">IF(OR('Setup &amp; Dashboard'!$D$16="",'Setup &amp; Dashboard'!$D$16=0),"",IF(SUM($G$7:G19)&gt;'Setup &amp; Dashboard'!$D$16,"⚠ OVER ROOM",""))</f>
        <v/>
      </c>
      <c r="Q19" s="34" t="str">
        <f aca="false">IF(OR('Setup &amp; Dashboard'!$G$14="",'Setup &amp; Dashboard'!$G$14=0),"",IF(SUM($H$7:H19)&gt;'Setup &amp; Dashboard'!$G$14,"⚠ OVER ROOM",""))</f>
        <v/>
      </c>
      <c r="R19" s="34" t="str">
        <f aca="false">IF(OR('Setup &amp; Dashboard'!$G$15="",'Setup &amp; Dashboard'!$G$15=0),"",IF(SUM($I$7:I19)&gt;'Setup &amp; Dashboard'!$G$15,"⚠ OVER ROOM",""))</f>
        <v/>
      </c>
      <c r="S19" s="34" t="str">
        <f aca="false">IF(OR('Setup &amp; Dashboard'!$G$16="",'Setup &amp; Dashboard'!$G$16=0),"",IF(SUM($J$7:J19)&gt;'Setup &amp; Dashboard'!$G$16,"⚠ OVER ROOM",""))</f>
        <v/>
      </c>
    </row>
    <row r="20" customFormat="false" ht="15.75" hidden="false" customHeight="true" outlineLevel="0" collapsed="false">
      <c r="B20" s="17" t="n">
        <v>14</v>
      </c>
      <c r="C20" s="32"/>
      <c r="D20" s="14"/>
      <c r="E20" s="33" t="n">
        <f aca="false">IFERROR('Setup &amp; Dashboard'!$E$14,0)</f>
        <v>0</v>
      </c>
      <c r="F20" s="33" t="n">
        <f aca="false">IFERROR('Setup &amp; Dashboard'!$E$15,0)</f>
        <v>0</v>
      </c>
      <c r="G20" s="33" t="n">
        <f aca="false">IFERROR('Setup &amp; Dashboard'!$E$16,0)</f>
        <v>0</v>
      </c>
      <c r="H20" s="33" t="n">
        <f aca="false">IFERROR('Setup &amp; Dashboard'!$H$14,0)</f>
        <v>0</v>
      </c>
      <c r="I20" s="33" t="n">
        <f aca="false">IFERROR('Setup &amp; Dashboard'!$H$15,0)</f>
        <v>0</v>
      </c>
      <c r="J20" s="33" t="n">
        <f aca="false">IFERROR('Setup &amp; Dashboard'!$H$16,0)</f>
        <v>0</v>
      </c>
      <c r="K20" s="33" t="n">
        <f aca="false">IFERROR('Cash Buckets'!$E$13,0)</f>
        <v>0</v>
      </c>
      <c r="L20" s="20" t="n">
        <f aca="false">SUM(E20:K20)</f>
        <v>0</v>
      </c>
      <c r="M20" s="20" t="n">
        <f aca="false">M19+L20</f>
        <v>0</v>
      </c>
      <c r="N20" s="34" t="str">
        <f aca="false">IF(OR('Setup &amp; Dashboard'!$D$14="",'Setup &amp; Dashboard'!$D$14=0),"",IF(SUM($E$7:E20)&gt;'Setup &amp; Dashboard'!$D$14,"⚠ OVER ROOM",""))</f>
        <v/>
      </c>
      <c r="O20" s="34" t="str">
        <f aca="false">IF(OR('Setup &amp; Dashboard'!$D$15="",'Setup &amp; Dashboard'!$D$15=0),"",IF(SUM($F$7:F20)&gt;'Setup &amp; Dashboard'!$D$15,"⚠ OVER ROOM",""))</f>
        <v/>
      </c>
      <c r="P20" s="34" t="str">
        <f aca="false">IF(OR('Setup &amp; Dashboard'!$D$16="",'Setup &amp; Dashboard'!$D$16=0),"",IF(SUM($G$7:G20)&gt;'Setup &amp; Dashboard'!$D$16,"⚠ OVER ROOM",""))</f>
        <v/>
      </c>
      <c r="Q20" s="34" t="str">
        <f aca="false">IF(OR('Setup &amp; Dashboard'!$G$14="",'Setup &amp; Dashboard'!$G$14=0),"",IF(SUM($H$7:H20)&gt;'Setup &amp; Dashboard'!$G$14,"⚠ OVER ROOM",""))</f>
        <v/>
      </c>
      <c r="R20" s="34" t="str">
        <f aca="false">IF(OR('Setup &amp; Dashboard'!$G$15="",'Setup &amp; Dashboard'!$G$15=0),"",IF(SUM($I$7:I20)&gt;'Setup &amp; Dashboard'!$G$15,"⚠ OVER ROOM",""))</f>
        <v/>
      </c>
      <c r="S20" s="34" t="str">
        <f aca="false">IF(OR('Setup &amp; Dashboard'!$G$16="",'Setup &amp; Dashboard'!$G$16=0),"",IF(SUM($J$7:J20)&gt;'Setup &amp; Dashboard'!$G$16,"⚠ OVER ROOM",""))</f>
        <v/>
      </c>
    </row>
    <row r="21" customFormat="false" ht="15.75" hidden="false" customHeight="true" outlineLevel="0" collapsed="false">
      <c r="B21" s="17" t="n">
        <v>15</v>
      </c>
      <c r="C21" s="32"/>
      <c r="D21" s="14"/>
      <c r="E21" s="33" t="n">
        <f aca="false">IFERROR('Setup &amp; Dashboard'!$E$14,0)</f>
        <v>0</v>
      </c>
      <c r="F21" s="33" t="n">
        <f aca="false">IFERROR('Setup &amp; Dashboard'!$E$15,0)</f>
        <v>0</v>
      </c>
      <c r="G21" s="33" t="n">
        <f aca="false">IFERROR('Setup &amp; Dashboard'!$E$16,0)</f>
        <v>0</v>
      </c>
      <c r="H21" s="33" t="n">
        <f aca="false">IFERROR('Setup &amp; Dashboard'!$H$14,0)</f>
        <v>0</v>
      </c>
      <c r="I21" s="33" t="n">
        <f aca="false">IFERROR('Setup &amp; Dashboard'!$H$15,0)</f>
        <v>0</v>
      </c>
      <c r="J21" s="33" t="n">
        <f aca="false">IFERROR('Setup &amp; Dashboard'!$H$16,0)</f>
        <v>0</v>
      </c>
      <c r="K21" s="33" t="n">
        <f aca="false">IFERROR('Cash Buckets'!$E$13,0)</f>
        <v>0</v>
      </c>
      <c r="L21" s="20" t="n">
        <f aca="false">SUM(E21:K21)</f>
        <v>0</v>
      </c>
      <c r="M21" s="20" t="n">
        <f aca="false">M20+L21</f>
        <v>0</v>
      </c>
      <c r="N21" s="34" t="str">
        <f aca="false">IF(OR('Setup &amp; Dashboard'!$D$14="",'Setup &amp; Dashboard'!$D$14=0),"",IF(SUM($E$7:E21)&gt;'Setup &amp; Dashboard'!$D$14,"⚠ OVER ROOM",""))</f>
        <v/>
      </c>
      <c r="O21" s="34" t="str">
        <f aca="false">IF(OR('Setup &amp; Dashboard'!$D$15="",'Setup &amp; Dashboard'!$D$15=0),"",IF(SUM($F$7:F21)&gt;'Setup &amp; Dashboard'!$D$15,"⚠ OVER ROOM",""))</f>
        <v/>
      </c>
      <c r="P21" s="34" t="str">
        <f aca="false">IF(OR('Setup &amp; Dashboard'!$D$16="",'Setup &amp; Dashboard'!$D$16=0),"",IF(SUM($G$7:G21)&gt;'Setup &amp; Dashboard'!$D$16,"⚠ OVER ROOM",""))</f>
        <v/>
      </c>
      <c r="Q21" s="34" t="str">
        <f aca="false">IF(OR('Setup &amp; Dashboard'!$G$14="",'Setup &amp; Dashboard'!$G$14=0),"",IF(SUM($H$7:H21)&gt;'Setup &amp; Dashboard'!$G$14,"⚠ OVER ROOM",""))</f>
        <v/>
      </c>
      <c r="R21" s="34" t="str">
        <f aca="false">IF(OR('Setup &amp; Dashboard'!$G$15="",'Setup &amp; Dashboard'!$G$15=0),"",IF(SUM($I$7:I21)&gt;'Setup &amp; Dashboard'!$G$15,"⚠ OVER ROOM",""))</f>
        <v/>
      </c>
      <c r="S21" s="34" t="str">
        <f aca="false">IF(OR('Setup &amp; Dashboard'!$G$16="",'Setup &amp; Dashboard'!$G$16=0),"",IF(SUM($J$7:J21)&gt;'Setup &amp; Dashboard'!$G$16,"⚠ OVER ROOM",""))</f>
        <v/>
      </c>
    </row>
    <row r="22" customFormat="false" ht="15.75" hidden="false" customHeight="true" outlineLevel="0" collapsed="false">
      <c r="B22" s="17" t="n">
        <v>16</v>
      </c>
      <c r="C22" s="32"/>
      <c r="D22" s="14"/>
      <c r="E22" s="33" t="n">
        <f aca="false">IFERROR('Setup &amp; Dashboard'!$E$14,0)</f>
        <v>0</v>
      </c>
      <c r="F22" s="33" t="n">
        <f aca="false">IFERROR('Setup &amp; Dashboard'!$E$15,0)</f>
        <v>0</v>
      </c>
      <c r="G22" s="33" t="n">
        <f aca="false">IFERROR('Setup &amp; Dashboard'!$E$16,0)</f>
        <v>0</v>
      </c>
      <c r="H22" s="33" t="n">
        <f aca="false">IFERROR('Setup &amp; Dashboard'!$H$14,0)</f>
        <v>0</v>
      </c>
      <c r="I22" s="33" t="n">
        <f aca="false">IFERROR('Setup &amp; Dashboard'!$H$15,0)</f>
        <v>0</v>
      </c>
      <c r="J22" s="33" t="n">
        <f aca="false">IFERROR('Setup &amp; Dashboard'!$H$16,0)</f>
        <v>0</v>
      </c>
      <c r="K22" s="33" t="n">
        <f aca="false">IFERROR('Cash Buckets'!$E$13,0)</f>
        <v>0</v>
      </c>
      <c r="L22" s="20" t="n">
        <f aca="false">SUM(E22:K22)</f>
        <v>0</v>
      </c>
      <c r="M22" s="20" t="n">
        <f aca="false">M21+L22</f>
        <v>0</v>
      </c>
      <c r="N22" s="34" t="str">
        <f aca="false">IF(OR('Setup &amp; Dashboard'!$D$14="",'Setup &amp; Dashboard'!$D$14=0),"",IF(SUM($E$7:E22)&gt;'Setup &amp; Dashboard'!$D$14,"⚠ OVER ROOM",""))</f>
        <v/>
      </c>
      <c r="O22" s="34" t="str">
        <f aca="false">IF(OR('Setup &amp; Dashboard'!$D$15="",'Setup &amp; Dashboard'!$D$15=0),"",IF(SUM($F$7:F22)&gt;'Setup &amp; Dashboard'!$D$15,"⚠ OVER ROOM",""))</f>
        <v/>
      </c>
      <c r="P22" s="34" t="str">
        <f aca="false">IF(OR('Setup &amp; Dashboard'!$D$16="",'Setup &amp; Dashboard'!$D$16=0),"",IF(SUM($G$7:G22)&gt;'Setup &amp; Dashboard'!$D$16,"⚠ OVER ROOM",""))</f>
        <v/>
      </c>
      <c r="Q22" s="34" t="str">
        <f aca="false">IF(OR('Setup &amp; Dashboard'!$G$14="",'Setup &amp; Dashboard'!$G$14=0),"",IF(SUM($H$7:H22)&gt;'Setup &amp; Dashboard'!$G$14,"⚠ OVER ROOM",""))</f>
        <v/>
      </c>
      <c r="R22" s="34" t="str">
        <f aca="false">IF(OR('Setup &amp; Dashboard'!$G$15="",'Setup &amp; Dashboard'!$G$15=0),"",IF(SUM($I$7:I22)&gt;'Setup &amp; Dashboard'!$G$15,"⚠ OVER ROOM",""))</f>
        <v/>
      </c>
      <c r="S22" s="34" t="str">
        <f aca="false">IF(OR('Setup &amp; Dashboard'!$G$16="",'Setup &amp; Dashboard'!$G$16=0),"",IF(SUM($J$7:J22)&gt;'Setup &amp; Dashboard'!$G$16,"⚠ OVER ROOM",""))</f>
        <v/>
      </c>
    </row>
    <row r="23" customFormat="false" ht="15.75" hidden="false" customHeight="true" outlineLevel="0" collapsed="false">
      <c r="B23" s="17" t="n">
        <v>17</v>
      </c>
      <c r="C23" s="32"/>
      <c r="D23" s="14"/>
      <c r="E23" s="33" t="n">
        <f aca="false">IFERROR('Setup &amp; Dashboard'!$E$14,0)</f>
        <v>0</v>
      </c>
      <c r="F23" s="33" t="n">
        <f aca="false">IFERROR('Setup &amp; Dashboard'!$E$15,0)</f>
        <v>0</v>
      </c>
      <c r="G23" s="33" t="n">
        <f aca="false">IFERROR('Setup &amp; Dashboard'!$E$16,0)</f>
        <v>0</v>
      </c>
      <c r="H23" s="33" t="n">
        <f aca="false">IFERROR('Setup &amp; Dashboard'!$H$14,0)</f>
        <v>0</v>
      </c>
      <c r="I23" s="33" t="n">
        <f aca="false">IFERROR('Setup &amp; Dashboard'!$H$15,0)</f>
        <v>0</v>
      </c>
      <c r="J23" s="33" t="n">
        <f aca="false">IFERROR('Setup &amp; Dashboard'!$H$16,0)</f>
        <v>0</v>
      </c>
      <c r="K23" s="33" t="n">
        <f aca="false">IFERROR('Cash Buckets'!$E$13,0)</f>
        <v>0</v>
      </c>
      <c r="L23" s="20" t="n">
        <f aca="false">SUM(E23:K23)</f>
        <v>0</v>
      </c>
      <c r="M23" s="20" t="n">
        <f aca="false">M22+L23</f>
        <v>0</v>
      </c>
      <c r="N23" s="34" t="str">
        <f aca="false">IF(OR('Setup &amp; Dashboard'!$D$14="",'Setup &amp; Dashboard'!$D$14=0),"",IF(SUM($E$7:E23)&gt;'Setup &amp; Dashboard'!$D$14,"⚠ OVER ROOM",""))</f>
        <v/>
      </c>
      <c r="O23" s="34" t="str">
        <f aca="false">IF(OR('Setup &amp; Dashboard'!$D$15="",'Setup &amp; Dashboard'!$D$15=0),"",IF(SUM($F$7:F23)&gt;'Setup &amp; Dashboard'!$D$15,"⚠ OVER ROOM",""))</f>
        <v/>
      </c>
      <c r="P23" s="34" t="str">
        <f aca="false">IF(OR('Setup &amp; Dashboard'!$D$16="",'Setup &amp; Dashboard'!$D$16=0),"",IF(SUM($G$7:G23)&gt;'Setup &amp; Dashboard'!$D$16,"⚠ OVER ROOM",""))</f>
        <v/>
      </c>
      <c r="Q23" s="34" t="str">
        <f aca="false">IF(OR('Setup &amp; Dashboard'!$G$14="",'Setup &amp; Dashboard'!$G$14=0),"",IF(SUM($H$7:H23)&gt;'Setup &amp; Dashboard'!$G$14,"⚠ OVER ROOM",""))</f>
        <v/>
      </c>
      <c r="R23" s="34" t="str">
        <f aca="false">IF(OR('Setup &amp; Dashboard'!$G$15="",'Setup &amp; Dashboard'!$G$15=0),"",IF(SUM($I$7:I23)&gt;'Setup &amp; Dashboard'!$G$15,"⚠ OVER ROOM",""))</f>
        <v/>
      </c>
      <c r="S23" s="34" t="str">
        <f aca="false">IF(OR('Setup &amp; Dashboard'!$G$16="",'Setup &amp; Dashboard'!$G$16=0),"",IF(SUM($J$7:J23)&gt;'Setup &amp; Dashboard'!$G$16,"⚠ OVER ROOM",""))</f>
        <v/>
      </c>
    </row>
    <row r="24" customFormat="false" ht="15.75" hidden="false" customHeight="true" outlineLevel="0" collapsed="false">
      <c r="B24" s="17" t="n">
        <v>18</v>
      </c>
      <c r="C24" s="32"/>
      <c r="D24" s="14"/>
      <c r="E24" s="33" t="n">
        <f aca="false">IFERROR('Setup &amp; Dashboard'!$E$14,0)</f>
        <v>0</v>
      </c>
      <c r="F24" s="33" t="n">
        <f aca="false">IFERROR('Setup &amp; Dashboard'!$E$15,0)</f>
        <v>0</v>
      </c>
      <c r="G24" s="33" t="n">
        <f aca="false">IFERROR('Setup &amp; Dashboard'!$E$16,0)</f>
        <v>0</v>
      </c>
      <c r="H24" s="33" t="n">
        <f aca="false">IFERROR('Setup &amp; Dashboard'!$H$14,0)</f>
        <v>0</v>
      </c>
      <c r="I24" s="33" t="n">
        <f aca="false">IFERROR('Setup &amp; Dashboard'!$H$15,0)</f>
        <v>0</v>
      </c>
      <c r="J24" s="33" t="n">
        <f aca="false">IFERROR('Setup &amp; Dashboard'!$H$16,0)</f>
        <v>0</v>
      </c>
      <c r="K24" s="33" t="n">
        <f aca="false">IFERROR('Cash Buckets'!$E$13,0)</f>
        <v>0</v>
      </c>
      <c r="L24" s="20" t="n">
        <f aca="false">SUM(E24:K24)</f>
        <v>0</v>
      </c>
      <c r="M24" s="20" t="n">
        <f aca="false">M23+L24</f>
        <v>0</v>
      </c>
      <c r="N24" s="34" t="str">
        <f aca="false">IF(OR('Setup &amp; Dashboard'!$D$14="",'Setup &amp; Dashboard'!$D$14=0),"",IF(SUM($E$7:E24)&gt;'Setup &amp; Dashboard'!$D$14,"⚠ OVER ROOM",""))</f>
        <v/>
      </c>
      <c r="O24" s="34" t="str">
        <f aca="false">IF(OR('Setup &amp; Dashboard'!$D$15="",'Setup &amp; Dashboard'!$D$15=0),"",IF(SUM($F$7:F24)&gt;'Setup &amp; Dashboard'!$D$15,"⚠ OVER ROOM",""))</f>
        <v/>
      </c>
      <c r="P24" s="34" t="str">
        <f aca="false">IF(OR('Setup &amp; Dashboard'!$D$16="",'Setup &amp; Dashboard'!$D$16=0),"",IF(SUM($G$7:G24)&gt;'Setup &amp; Dashboard'!$D$16,"⚠ OVER ROOM",""))</f>
        <v/>
      </c>
      <c r="Q24" s="34" t="str">
        <f aca="false">IF(OR('Setup &amp; Dashboard'!$G$14="",'Setup &amp; Dashboard'!$G$14=0),"",IF(SUM($H$7:H24)&gt;'Setup &amp; Dashboard'!$G$14,"⚠ OVER ROOM",""))</f>
        <v/>
      </c>
      <c r="R24" s="34" t="str">
        <f aca="false">IF(OR('Setup &amp; Dashboard'!$G$15="",'Setup &amp; Dashboard'!$G$15=0),"",IF(SUM($I$7:I24)&gt;'Setup &amp; Dashboard'!$G$15,"⚠ OVER ROOM",""))</f>
        <v/>
      </c>
      <c r="S24" s="34" t="str">
        <f aca="false">IF(OR('Setup &amp; Dashboard'!$G$16="",'Setup &amp; Dashboard'!$G$16=0),"",IF(SUM($J$7:J24)&gt;'Setup &amp; Dashboard'!$G$16,"⚠ OVER ROOM",""))</f>
        <v/>
      </c>
    </row>
    <row r="25" customFormat="false" ht="15.75" hidden="false" customHeight="true" outlineLevel="0" collapsed="false">
      <c r="B25" s="17" t="n">
        <v>19</v>
      </c>
      <c r="C25" s="32"/>
      <c r="D25" s="14"/>
      <c r="E25" s="33" t="n">
        <f aca="false">IFERROR('Setup &amp; Dashboard'!$E$14,0)</f>
        <v>0</v>
      </c>
      <c r="F25" s="33" t="n">
        <f aca="false">IFERROR('Setup &amp; Dashboard'!$E$15,0)</f>
        <v>0</v>
      </c>
      <c r="G25" s="33" t="n">
        <f aca="false">IFERROR('Setup &amp; Dashboard'!$E$16,0)</f>
        <v>0</v>
      </c>
      <c r="H25" s="33" t="n">
        <f aca="false">IFERROR('Setup &amp; Dashboard'!$H$14,0)</f>
        <v>0</v>
      </c>
      <c r="I25" s="33" t="n">
        <f aca="false">IFERROR('Setup &amp; Dashboard'!$H$15,0)</f>
        <v>0</v>
      </c>
      <c r="J25" s="33" t="n">
        <f aca="false">IFERROR('Setup &amp; Dashboard'!$H$16,0)</f>
        <v>0</v>
      </c>
      <c r="K25" s="33" t="n">
        <f aca="false">IFERROR('Cash Buckets'!$E$13,0)</f>
        <v>0</v>
      </c>
      <c r="L25" s="20" t="n">
        <f aca="false">SUM(E25:K25)</f>
        <v>0</v>
      </c>
      <c r="M25" s="20" t="n">
        <f aca="false">M24+L25</f>
        <v>0</v>
      </c>
      <c r="N25" s="34" t="str">
        <f aca="false">IF(OR('Setup &amp; Dashboard'!$D$14="",'Setup &amp; Dashboard'!$D$14=0),"",IF(SUM($E$7:E25)&gt;'Setup &amp; Dashboard'!$D$14,"⚠ OVER ROOM",""))</f>
        <v/>
      </c>
      <c r="O25" s="34" t="str">
        <f aca="false">IF(OR('Setup &amp; Dashboard'!$D$15="",'Setup &amp; Dashboard'!$D$15=0),"",IF(SUM($F$7:F25)&gt;'Setup &amp; Dashboard'!$D$15,"⚠ OVER ROOM",""))</f>
        <v/>
      </c>
      <c r="P25" s="34" t="str">
        <f aca="false">IF(OR('Setup &amp; Dashboard'!$D$16="",'Setup &amp; Dashboard'!$D$16=0),"",IF(SUM($G$7:G25)&gt;'Setup &amp; Dashboard'!$D$16,"⚠ OVER ROOM",""))</f>
        <v/>
      </c>
      <c r="Q25" s="34" t="str">
        <f aca="false">IF(OR('Setup &amp; Dashboard'!$G$14="",'Setup &amp; Dashboard'!$G$14=0),"",IF(SUM($H$7:H25)&gt;'Setup &amp; Dashboard'!$G$14,"⚠ OVER ROOM",""))</f>
        <v/>
      </c>
      <c r="R25" s="34" t="str">
        <f aca="false">IF(OR('Setup &amp; Dashboard'!$G$15="",'Setup &amp; Dashboard'!$G$15=0),"",IF(SUM($I$7:I25)&gt;'Setup &amp; Dashboard'!$G$15,"⚠ OVER ROOM",""))</f>
        <v/>
      </c>
      <c r="S25" s="34" t="str">
        <f aca="false">IF(OR('Setup &amp; Dashboard'!$G$16="",'Setup &amp; Dashboard'!$G$16=0),"",IF(SUM($J$7:J25)&gt;'Setup &amp; Dashboard'!$G$16,"⚠ OVER ROOM",""))</f>
        <v/>
      </c>
    </row>
    <row r="26" customFormat="false" ht="15.75" hidden="false" customHeight="true" outlineLevel="0" collapsed="false">
      <c r="B26" s="17" t="n">
        <v>20</v>
      </c>
      <c r="C26" s="32"/>
      <c r="D26" s="14"/>
      <c r="E26" s="33" t="n">
        <f aca="false">IFERROR('Setup &amp; Dashboard'!$E$14,0)</f>
        <v>0</v>
      </c>
      <c r="F26" s="33" t="n">
        <f aca="false">IFERROR('Setup &amp; Dashboard'!$E$15,0)</f>
        <v>0</v>
      </c>
      <c r="G26" s="33" t="n">
        <f aca="false">IFERROR('Setup &amp; Dashboard'!$E$16,0)</f>
        <v>0</v>
      </c>
      <c r="H26" s="33" t="n">
        <f aca="false">IFERROR('Setup &amp; Dashboard'!$H$14,0)</f>
        <v>0</v>
      </c>
      <c r="I26" s="33" t="n">
        <f aca="false">IFERROR('Setup &amp; Dashboard'!$H$15,0)</f>
        <v>0</v>
      </c>
      <c r="J26" s="33" t="n">
        <f aca="false">IFERROR('Setup &amp; Dashboard'!$H$16,0)</f>
        <v>0</v>
      </c>
      <c r="K26" s="33" t="n">
        <f aca="false">IFERROR('Cash Buckets'!$E$13,0)</f>
        <v>0</v>
      </c>
      <c r="L26" s="20" t="n">
        <f aca="false">SUM(E26:K26)</f>
        <v>0</v>
      </c>
      <c r="M26" s="20" t="n">
        <f aca="false">M25+L26</f>
        <v>0</v>
      </c>
      <c r="N26" s="34" t="str">
        <f aca="false">IF(OR('Setup &amp; Dashboard'!$D$14="",'Setup &amp; Dashboard'!$D$14=0),"",IF(SUM($E$7:E26)&gt;'Setup &amp; Dashboard'!$D$14,"⚠ OVER ROOM",""))</f>
        <v/>
      </c>
      <c r="O26" s="34" t="str">
        <f aca="false">IF(OR('Setup &amp; Dashboard'!$D$15="",'Setup &amp; Dashboard'!$D$15=0),"",IF(SUM($F$7:F26)&gt;'Setup &amp; Dashboard'!$D$15,"⚠ OVER ROOM",""))</f>
        <v/>
      </c>
      <c r="P26" s="34" t="str">
        <f aca="false">IF(OR('Setup &amp; Dashboard'!$D$16="",'Setup &amp; Dashboard'!$D$16=0),"",IF(SUM($G$7:G26)&gt;'Setup &amp; Dashboard'!$D$16,"⚠ OVER ROOM",""))</f>
        <v/>
      </c>
      <c r="Q26" s="34" t="str">
        <f aca="false">IF(OR('Setup &amp; Dashboard'!$G$14="",'Setup &amp; Dashboard'!$G$14=0),"",IF(SUM($H$7:H26)&gt;'Setup &amp; Dashboard'!$G$14,"⚠ OVER ROOM",""))</f>
        <v/>
      </c>
      <c r="R26" s="34" t="str">
        <f aca="false">IF(OR('Setup &amp; Dashboard'!$G$15="",'Setup &amp; Dashboard'!$G$15=0),"",IF(SUM($I$7:I26)&gt;'Setup &amp; Dashboard'!$G$15,"⚠ OVER ROOM",""))</f>
        <v/>
      </c>
      <c r="S26" s="34" t="str">
        <f aca="false">IF(OR('Setup &amp; Dashboard'!$G$16="",'Setup &amp; Dashboard'!$G$16=0),"",IF(SUM($J$7:J26)&gt;'Setup &amp; Dashboard'!$G$16,"⚠ OVER ROOM",""))</f>
        <v/>
      </c>
    </row>
    <row r="27" customFormat="false" ht="15.75" hidden="false" customHeight="true" outlineLevel="0" collapsed="false">
      <c r="B27" s="17" t="n">
        <v>21</v>
      </c>
      <c r="C27" s="32"/>
      <c r="D27" s="14"/>
      <c r="E27" s="33" t="n">
        <f aca="false">IFERROR('Setup &amp; Dashboard'!$E$14,0)</f>
        <v>0</v>
      </c>
      <c r="F27" s="33" t="n">
        <f aca="false">IFERROR('Setup &amp; Dashboard'!$E$15,0)</f>
        <v>0</v>
      </c>
      <c r="G27" s="33" t="n">
        <f aca="false">IFERROR('Setup &amp; Dashboard'!$E$16,0)</f>
        <v>0</v>
      </c>
      <c r="H27" s="33" t="n">
        <f aca="false">IFERROR('Setup &amp; Dashboard'!$H$14,0)</f>
        <v>0</v>
      </c>
      <c r="I27" s="33" t="n">
        <f aca="false">IFERROR('Setup &amp; Dashboard'!$H$15,0)</f>
        <v>0</v>
      </c>
      <c r="J27" s="33" t="n">
        <f aca="false">IFERROR('Setup &amp; Dashboard'!$H$16,0)</f>
        <v>0</v>
      </c>
      <c r="K27" s="33" t="n">
        <f aca="false">IFERROR('Cash Buckets'!$E$13,0)</f>
        <v>0</v>
      </c>
      <c r="L27" s="20" t="n">
        <f aca="false">SUM(E27:K27)</f>
        <v>0</v>
      </c>
      <c r="M27" s="20" t="n">
        <f aca="false">M26+L27</f>
        <v>0</v>
      </c>
      <c r="N27" s="34" t="str">
        <f aca="false">IF(OR('Setup &amp; Dashboard'!$D$14="",'Setup &amp; Dashboard'!$D$14=0),"",IF(SUM($E$7:E27)&gt;'Setup &amp; Dashboard'!$D$14,"⚠ OVER ROOM",""))</f>
        <v/>
      </c>
      <c r="O27" s="34" t="str">
        <f aca="false">IF(OR('Setup &amp; Dashboard'!$D$15="",'Setup &amp; Dashboard'!$D$15=0),"",IF(SUM($F$7:F27)&gt;'Setup &amp; Dashboard'!$D$15,"⚠ OVER ROOM",""))</f>
        <v/>
      </c>
      <c r="P27" s="34" t="str">
        <f aca="false">IF(OR('Setup &amp; Dashboard'!$D$16="",'Setup &amp; Dashboard'!$D$16=0),"",IF(SUM($G$7:G27)&gt;'Setup &amp; Dashboard'!$D$16,"⚠ OVER ROOM",""))</f>
        <v/>
      </c>
      <c r="Q27" s="34" t="str">
        <f aca="false">IF(OR('Setup &amp; Dashboard'!$G$14="",'Setup &amp; Dashboard'!$G$14=0),"",IF(SUM($H$7:H27)&gt;'Setup &amp; Dashboard'!$G$14,"⚠ OVER ROOM",""))</f>
        <v/>
      </c>
      <c r="R27" s="34" t="str">
        <f aca="false">IF(OR('Setup &amp; Dashboard'!$G$15="",'Setup &amp; Dashboard'!$G$15=0),"",IF(SUM($I$7:I27)&gt;'Setup &amp; Dashboard'!$G$15,"⚠ OVER ROOM",""))</f>
        <v/>
      </c>
      <c r="S27" s="34" t="str">
        <f aca="false">IF(OR('Setup &amp; Dashboard'!$G$16="",'Setup &amp; Dashboard'!$G$16=0),"",IF(SUM($J$7:J27)&gt;'Setup &amp; Dashboard'!$G$16,"⚠ OVER ROOM",""))</f>
        <v/>
      </c>
    </row>
    <row r="28" customFormat="false" ht="15.75" hidden="false" customHeight="true" outlineLevel="0" collapsed="false">
      <c r="B28" s="17" t="n">
        <v>22</v>
      </c>
      <c r="C28" s="32"/>
      <c r="D28" s="14"/>
      <c r="E28" s="33" t="n">
        <f aca="false">IFERROR('Setup &amp; Dashboard'!$E$14,0)</f>
        <v>0</v>
      </c>
      <c r="F28" s="33" t="n">
        <f aca="false">IFERROR('Setup &amp; Dashboard'!$E$15,0)</f>
        <v>0</v>
      </c>
      <c r="G28" s="33" t="n">
        <f aca="false">IFERROR('Setup &amp; Dashboard'!$E$16,0)</f>
        <v>0</v>
      </c>
      <c r="H28" s="33" t="n">
        <f aca="false">IFERROR('Setup &amp; Dashboard'!$H$14,0)</f>
        <v>0</v>
      </c>
      <c r="I28" s="33" t="n">
        <f aca="false">IFERROR('Setup &amp; Dashboard'!$H$15,0)</f>
        <v>0</v>
      </c>
      <c r="J28" s="33" t="n">
        <f aca="false">IFERROR('Setup &amp; Dashboard'!$H$16,0)</f>
        <v>0</v>
      </c>
      <c r="K28" s="33" t="n">
        <f aca="false">IFERROR('Cash Buckets'!$E$13,0)</f>
        <v>0</v>
      </c>
      <c r="L28" s="20" t="n">
        <f aca="false">SUM(E28:K28)</f>
        <v>0</v>
      </c>
      <c r="M28" s="20" t="n">
        <f aca="false">M27+L28</f>
        <v>0</v>
      </c>
      <c r="N28" s="34" t="str">
        <f aca="false">IF(OR('Setup &amp; Dashboard'!$D$14="",'Setup &amp; Dashboard'!$D$14=0),"",IF(SUM($E$7:E28)&gt;'Setup &amp; Dashboard'!$D$14,"⚠ OVER ROOM",""))</f>
        <v/>
      </c>
      <c r="O28" s="34" t="str">
        <f aca="false">IF(OR('Setup &amp; Dashboard'!$D$15="",'Setup &amp; Dashboard'!$D$15=0),"",IF(SUM($F$7:F28)&gt;'Setup &amp; Dashboard'!$D$15,"⚠ OVER ROOM",""))</f>
        <v/>
      </c>
      <c r="P28" s="34" t="str">
        <f aca="false">IF(OR('Setup &amp; Dashboard'!$D$16="",'Setup &amp; Dashboard'!$D$16=0),"",IF(SUM($G$7:G28)&gt;'Setup &amp; Dashboard'!$D$16,"⚠ OVER ROOM",""))</f>
        <v/>
      </c>
      <c r="Q28" s="34" t="str">
        <f aca="false">IF(OR('Setup &amp; Dashboard'!$G$14="",'Setup &amp; Dashboard'!$G$14=0),"",IF(SUM($H$7:H28)&gt;'Setup &amp; Dashboard'!$G$14,"⚠ OVER ROOM",""))</f>
        <v/>
      </c>
      <c r="R28" s="34" t="str">
        <f aca="false">IF(OR('Setup &amp; Dashboard'!$G$15="",'Setup &amp; Dashboard'!$G$15=0),"",IF(SUM($I$7:I28)&gt;'Setup &amp; Dashboard'!$G$15,"⚠ OVER ROOM",""))</f>
        <v/>
      </c>
      <c r="S28" s="34" t="str">
        <f aca="false">IF(OR('Setup &amp; Dashboard'!$G$16="",'Setup &amp; Dashboard'!$G$16=0),"",IF(SUM($J$7:J28)&gt;'Setup &amp; Dashboard'!$G$16,"⚠ OVER ROOM",""))</f>
        <v/>
      </c>
    </row>
    <row r="29" customFormat="false" ht="15.75" hidden="false" customHeight="true" outlineLevel="0" collapsed="false">
      <c r="B29" s="17" t="n">
        <v>23</v>
      </c>
      <c r="C29" s="32"/>
      <c r="D29" s="14"/>
      <c r="E29" s="33" t="n">
        <f aca="false">IFERROR('Setup &amp; Dashboard'!$E$14,0)</f>
        <v>0</v>
      </c>
      <c r="F29" s="33" t="n">
        <f aca="false">IFERROR('Setup &amp; Dashboard'!$E$15,0)</f>
        <v>0</v>
      </c>
      <c r="G29" s="33" t="n">
        <f aca="false">IFERROR('Setup &amp; Dashboard'!$E$16,0)</f>
        <v>0</v>
      </c>
      <c r="H29" s="33" t="n">
        <f aca="false">IFERROR('Setup &amp; Dashboard'!$H$14,0)</f>
        <v>0</v>
      </c>
      <c r="I29" s="33" t="n">
        <f aca="false">IFERROR('Setup &amp; Dashboard'!$H$15,0)</f>
        <v>0</v>
      </c>
      <c r="J29" s="33" t="n">
        <f aca="false">IFERROR('Setup &amp; Dashboard'!$H$16,0)</f>
        <v>0</v>
      </c>
      <c r="K29" s="33" t="n">
        <f aca="false">IFERROR('Cash Buckets'!$E$13,0)</f>
        <v>0</v>
      </c>
      <c r="L29" s="20" t="n">
        <f aca="false">SUM(E29:K29)</f>
        <v>0</v>
      </c>
      <c r="M29" s="20" t="n">
        <f aca="false">M28+L29</f>
        <v>0</v>
      </c>
      <c r="N29" s="34" t="str">
        <f aca="false">IF(OR('Setup &amp; Dashboard'!$D$14="",'Setup &amp; Dashboard'!$D$14=0),"",IF(SUM($E$7:E29)&gt;'Setup &amp; Dashboard'!$D$14,"⚠ OVER ROOM",""))</f>
        <v/>
      </c>
      <c r="O29" s="34" t="str">
        <f aca="false">IF(OR('Setup &amp; Dashboard'!$D$15="",'Setup &amp; Dashboard'!$D$15=0),"",IF(SUM($F$7:F29)&gt;'Setup &amp; Dashboard'!$D$15,"⚠ OVER ROOM",""))</f>
        <v/>
      </c>
      <c r="P29" s="34" t="str">
        <f aca="false">IF(OR('Setup &amp; Dashboard'!$D$16="",'Setup &amp; Dashboard'!$D$16=0),"",IF(SUM($G$7:G29)&gt;'Setup &amp; Dashboard'!$D$16,"⚠ OVER ROOM",""))</f>
        <v/>
      </c>
      <c r="Q29" s="34" t="str">
        <f aca="false">IF(OR('Setup &amp; Dashboard'!$G$14="",'Setup &amp; Dashboard'!$G$14=0),"",IF(SUM($H$7:H29)&gt;'Setup &amp; Dashboard'!$G$14,"⚠ OVER ROOM",""))</f>
        <v/>
      </c>
      <c r="R29" s="34" t="str">
        <f aca="false">IF(OR('Setup &amp; Dashboard'!$G$15="",'Setup &amp; Dashboard'!$G$15=0),"",IF(SUM($I$7:I29)&gt;'Setup &amp; Dashboard'!$G$15,"⚠ OVER ROOM",""))</f>
        <v/>
      </c>
      <c r="S29" s="34" t="str">
        <f aca="false">IF(OR('Setup &amp; Dashboard'!$G$16="",'Setup &amp; Dashboard'!$G$16=0),"",IF(SUM($J$7:J29)&gt;'Setup &amp; Dashboard'!$G$16,"⚠ OVER ROOM",""))</f>
        <v/>
      </c>
    </row>
    <row r="30" customFormat="false" ht="15.75" hidden="false" customHeight="true" outlineLevel="0" collapsed="false">
      <c r="B30" s="17" t="n">
        <v>24</v>
      </c>
      <c r="C30" s="32"/>
      <c r="D30" s="14"/>
      <c r="E30" s="33" t="n">
        <f aca="false">IFERROR('Setup &amp; Dashboard'!$E$14,0)</f>
        <v>0</v>
      </c>
      <c r="F30" s="33" t="n">
        <f aca="false">IFERROR('Setup &amp; Dashboard'!$E$15,0)</f>
        <v>0</v>
      </c>
      <c r="G30" s="33" t="n">
        <f aca="false">IFERROR('Setup &amp; Dashboard'!$E$16,0)</f>
        <v>0</v>
      </c>
      <c r="H30" s="33" t="n">
        <f aca="false">IFERROR('Setup &amp; Dashboard'!$H$14,0)</f>
        <v>0</v>
      </c>
      <c r="I30" s="33" t="n">
        <f aca="false">IFERROR('Setup &amp; Dashboard'!$H$15,0)</f>
        <v>0</v>
      </c>
      <c r="J30" s="33" t="n">
        <f aca="false">IFERROR('Setup &amp; Dashboard'!$H$16,0)</f>
        <v>0</v>
      </c>
      <c r="K30" s="33" t="n">
        <f aca="false">IFERROR('Cash Buckets'!$E$13,0)</f>
        <v>0</v>
      </c>
      <c r="L30" s="20" t="n">
        <f aca="false">SUM(E30:K30)</f>
        <v>0</v>
      </c>
      <c r="M30" s="20" t="n">
        <f aca="false">M29+L30</f>
        <v>0</v>
      </c>
      <c r="N30" s="34" t="str">
        <f aca="false">IF(OR('Setup &amp; Dashboard'!$D$14="",'Setup &amp; Dashboard'!$D$14=0),"",IF(SUM($E$7:E30)&gt;'Setup &amp; Dashboard'!$D$14,"⚠ OVER ROOM",""))</f>
        <v/>
      </c>
      <c r="O30" s="34" t="str">
        <f aca="false">IF(OR('Setup &amp; Dashboard'!$D$15="",'Setup &amp; Dashboard'!$D$15=0),"",IF(SUM($F$7:F30)&gt;'Setup &amp; Dashboard'!$D$15,"⚠ OVER ROOM",""))</f>
        <v/>
      </c>
      <c r="P30" s="34" t="str">
        <f aca="false">IF(OR('Setup &amp; Dashboard'!$D$16="",'Setup &amp; Dashboard'!$D$16=0),"",IF(SUM($G$7:G30)&gt;'Setup &amp; Dashboard'!$D$16,"⚠ OVER ROOM",""))</f>
        <v/>
      </c>
      <c r="Q30" s="34" t="str">
        <f aca="false">IF(OR('Setup &amp; Dashboard'!$G$14="",'Setup &amp; Dashboard'!$G$14=0),"",IF(SUM($H$7:H30)&gt;'Setup &amp; Dashboard'!$G$14,"⚠ OVER ROOM",""))</f>
        <v/>
      </c>
      <c r="R30" s="34" t="str">
        <f aca="false">IF(OR('Setup &amp; Dashboard'!$G$15="",'Setup &amp; Dashboard'!$G$15=0),"",IF(SUM($I$7:I30)&gt;'Setup &amp; Dashboard'!$G$15,"⚠ OVER ROOM",""))</f>
        <v/>
      </c>
      <c r="S30" s="34" t="str">
        <f aca="false">IF(OR('Setup &amp; Dashboard'!$G$16="",'Setup &amp; Dashboard'!$G$16=0),"",IF(SUM($J$7:J30)&gt;'Setup &amp; Dashboard'!$G$16,"⚠ OVER ROOM",""))</f>
        <v/>
      </c>
    </row>
    <row r="31" customFormat="false" ht="15.75" hidden="false" customHeight="true" outlineLevel="0" collapsed="false">
      <c r="B31" s="17" t="n">
        <v>25</v>
      </c>
      <c r="C31" s="32"/>
      <c r="D31" s="14"/>
      <c r="E31" s="33" t="n">
        <f aca="false">IFERROR('Setup &amp; Dashboard'!$E$14,0)</f>
        <v>0</v>
      </c>
      <c r="F31" s="33" t="n">
        <f aca="false">IFERROR('Setup &amp; Dashboard'!$E$15,0)</f>
        <v>0</v>
      </c>
      <c r="G31" s="33" t="n">
        <f aca="false">IFERROR('Setup &amp; Dashboard'!$E$16,0)</f>
        <v>0</v>
      </c>
      <c r="H31" s="33" t="n">
        <f aca="false">IFERROR('Setup &amp; Dashboard'!$H$14,0)</f>
        <v>0</v>
      </c>
      <c r="I31" s="33" t="n">
        <f aca="false">IFERROR('Setup &amp; Dashboard'!$H$15,0)</f>
        <v>0</v>
      </c>
      <c r="J31" s="33" t="n">
        <f aca="false">IFERROR('Setup &amp; Dashboard'!$H$16,0)</f>
        <v>0</v>
      </c>
      <c r="K31" s="33" t="n">
        <f aca="false">IFERROR('Cash Buckets'!$E$13,0)</f>
        <v>0</v>
      </c>
      <c r="L31" s="20" t="n">
        <f aca="false">SUM(E31:K31)</f>
        <v>0</v>
      </c>
      <c r="M31" s="20" t="n">
        <f aca="false">M30+L31</f>
        <v>0</v>
      </c>
      <c r="N31" s="34" t="str">
        <f aca="false">IF(OR('Setup &amp; Dashboard'!$D$14="",'Setup &amp; Dashboard'!$D$14=0),"",IF(SUM($E$7:E31)&gt;'Setup &amp; Dashboard'!$D$14,"⚠ OVER ROOM",""))</f>
        <v/>
      </c>
      <c r="O31" s="34" t="str">
        <f aca="false">IF(OR('Setup &amp; Dashboard'!$D$15="",'Setup &amp; Dashboard'!$D$15=0),"",IF(SUM($F$7:F31)&gt;'Setup &amp; Dashboard'!$D$15,"⚠ OVER ROOM",""))</f>
        <v/>
      </c>
      <c r="P31" s="34" t="str">
        <f aca="false">IF(OR('Setup &amp; Dashboard'!$D$16="",'Setup &amp; Dashboard'!$D$16=0),"",IF(SUM($G$7:G31)&gt;'Setup &amp; Dashboard'!$D$16,"⚠ OVER ROOM",""))</f>
        <v/>
      </c>
      <c r="Q31" s="34" t="str">
        <f aca="false">IF(OR('Setup &amp; Dashboard'!$G$14="",'Setup &amp; Dashboard'!$G$14=0),"",IF(SUM($H$7:H31)&gt;'Setup &amp; Dashboard'!$G$14,"⚠ OVER ROOM",""))</f>
        <v/>
      </c>
      <c r="R31" s="34" t="str">
        <f aca="false">IF(OR('Setup &amp; Dashboard'!$G$15="",'Setup &amp; Dashboard'!$G$15=0),"",IF(SUM($I$7:I31)&gt;'Setup &amp; Dashboard'!$G$15,"⚠ OVER ROOM",""))</f>
        <v/>
      </c>
      <c r="S31" s="34" t="str">
        <f aca="false">IF(OR('Setup &amp; Dashboard'!$G$16="",'Setup &amp; Dashboard'!$G$16=0),"",IF(SUM($J$7:J31)&gt;'Setup &amp; Dashboard'!$G$16,"⚠ OVER ROOM",""))</f>
        <v/>
      </c>
    </row>
    <row r="32" customFormat="false" ht="15.75" hidden="false" customHeight="true" outlineLevel="0" collapsed="false">
      <c r="B32" s="17" t="n">
        <v>26</v>
      </c>
      <c r="C32" s="32"/>
      <c r="D32" s="14"/>
      <c r="E32" s="33" t="n">
        <f aca="false">IFERROR('Setup &amp; Dashboard'!$E$14,0)</f>
        <v>0</v>
      </c>
      <c r="F32" s="33" t="n">
        <f aca="false">IFERROR('Setup &amp; Dashboard'!$E$15,0)</f>
        <v>0</v>
      </c>
      <c r="G32" s="33" t="n">
        <f aca="false">IFERROR('Setup &amp; Dashboard'!$E$16,0)</f>
        <v>0</v>
      </c>
      <c r="H32" s="33" t="n">
        <f aca="false">IFERROR('Setup &amp; Dashboard'!$H$14,0)</f>
        <v>0</v>
      </c>
      <c r="I32" s="33" t="n">
        <f aca="false">IFERROR('Setup &amp; Dashboard'!$H$15,0)</f>
        <v>0</v>
      </c>
      <c r="J32" s="33" t="n">
        <f aca="false">IFERROR('Setup &amp; Dashboard'!$H$16,0)</f>
        <v>0</v>
      </c>
      <c r="K32" s="33" t="n">
        <f aca="false">IFERROR('Cash Buckets'!$E$13,0)</f>
        <v>0</v>
      </c>
      <c r="L32" s="20" t="n">
        <f aca="false">SUM(E32:K32)</f>
        <v>0</v>
      </c>
      <c r="M32" s="20" t="n">
        <f aca="false">M31+L32</f>
        <v>0</v>
      </c>
      <c r="N32" s="34" t="str">
        <f aca="false">IF(OR('Setup &amp; Dashboard'!$D$14="",'Setup &amp; Dashboard'!$D$14=0),"",IF(SUM($E$7:E32)&gt;'Setup &amp; Dashboard'!$D$14,"⚠ OVER ROOM",""))</f>
        <v/>
      </c>
      <c r="O32" s="34" t="str">
        <f aca="false">IF(OR('Setup &amp; Dashboard'!$D$15="",'Setup &amp; Dashboard'!$D$15=0),"",IF(SUM($F$7:F32)&gt;'Setup &amp; Dashboard'!$D$15,"⚠ OVER ROOM",""))</f>
        <v/>
      </c>
      <c r="P32" s="34" t="str">
        <f aca="false">IF(OR('Setup &amp; Dashboard'!$D$16="",'Setup &amp; Dashboard'!$D$16=0),"",IF(SUM($G$7:G32)&gt;'Setup &amp; Dashboard'!$D$16,"⚠ OVER ROOM",""))</f>
        <v/>
      </c>
      <c r="Q32" s="34" t="str">
        <f aca="false">IF(OR('Setup &amp; Dashboard'!$G$14="",'Setup &amp; Dashboard'!$G$14=0),"",IF(SUM($H$7:H32)&gt;'Setup &amp; Dashboard'!$G$14,"⚠ OVER ROOM",""))</f>
        <v/>
      </c>
      <c r="R32" s="34" t="str">
        <f aca="false">IF(OR('Setup &amp; Dashboard'!$G$15="",'Setup &amp; Dashboard'!$G$15=0),"",IF(SUM($I$7:I32)&gt;'Setup &amp; Dashboard'!$G$15,"⚠ OVER ROOM",""))</f>
        <v/>
      </c>
      <c r="S32" s="34" t="str">
        <f aca="false">IF(OR('Setup &amp; Dashboard'!$G$16="",'Setup &amp; Dashboard'!$G$16=0),"",IF(SUM($J$7:J32)&gt;'Setup &amp; Dashboard'!$G$16,"⚠ OVER ROOM",""))</f>
        <v/>
      </c>
    </row>
    <row r="33" customFormat="false" ht="15" hidden="false" customHeight="true" outlineLevel="0" collapsed="false">
      <c r="B33" s="22" t="s">
        <v>103</v>
      </c>
      <c r="C33" s="22"/>
      <c r="D33" s="22"/>
      <c r="E33" s="23" t="n">
        <f aca="false">SUM(E7:E32)</f>
        <v>0</v>
      </c>
      <c r="F33" s="23" t="n">
        <f aca="false">SUM(F7:F32)</f>
        <v>0</v>
      </c>
      <c r="G33" s="23" t="n">
        <f aca="false">SUM(G7:G32)</f>
        <v>0</v>
      </c>
      <c r="H33" s="23" t="n">
        <f aca="false">SUM(H7:H32)</f>
        <v>0</v>
      </c>
      <c r="I33" s="23" t="n">
        <f aca="false">SUM(I7:I32)</f>
        <v>0</v>
      </c>
      <c r="J33" s="23" t="n">
        <f aca="false">SUM(J7:J32)</f>
        <v>0</v>
      </c>
      <c r="K33" s="23" t="n">
        <f aca="false">SUM(K7:K32)</f>
        <v>0</v>
      </c>
      <c r="L33" s="23" t="n">
        <f aca="false">SUM(L7:L32)</f>
        <v>0</v>
      </c>
    </row>
    <row r="35" customFormat="false" ht="15" hidden="false" customHeight="true" outlineLevel="0" collapsed="false">
      <c r="B35" s="13" t="s">
        <v>104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</sheetData>
  <mergeCells count="5">
    <mergeCell ref="B2:S2"/>
    <mergeCell ref="B3:S3"/>
    <mergeCell ref="B4:S4"/>
    <mergeCell ref="B33:D33"/>
    <mergeCell ref="B35:S35"/>
  </mergeCells>
  <conditionalFormatting sqref="N7:N32">
    <cfRule type="expression" priority="2" aboveAverage="0" equalAverage="0" bottom="0" percent="0" rank="0" text="" dxfId="0">
      <formula>ISNUMBER(SEARCH("OVER",N7))</formula>
    </cfRule>
  </conditionalFormatting>
  <conditionalFormatting sqref="O7:O32">
    <cfRule type="expression" priority="3" aboveAverage="0" equalAverage="0" bottom="0" percent="0" rank="0" text="" dxfId="0">
      <formula>ISNUMBER(SEARCH("OVER",O7))</formula>
    </cfRule>
  </conditionalFormatting>
  <conditionalFormatting sqref="P7:P32">
    <cfRule type="expression" priority="4" aboveAverage="0" equalAverage="0" bottom="0" percent="0" rank="0" text="" dxfId="0">
      <formula>ISNUMBER(SEARCH("OVER",P7))</formula>
    </cfRule>
  </conditionalFormatting>
  <conditionalFormatting sqref="Q7:Q32">
    <cfRule type="expression" priority="5" aboveAverage="0" equalAverage="0" bottom="0" percent="0" rank="0" text="" dxfId="0">
      <formula>ISNUMBER(SEARCH("OVER",Q7))</formula>
    </cfRule>
  </conditionalFormatting>
  <conditionalFormatting sqref="R7:R32">
    <cfRule type="expression" priority="6" aboveAverage="0" equalAverage="0" bottom="0" percent="0" rank="0" text="" dxfId="0">
      <formula>ISNUMBER(SEARCH("OVER",R7))</formula>
    </cfRule>
  </conditionalFormatting>
  <conditionalFormatting sqref="S7:S32">
    <cfRule type="expression" priority="7" aboveAverage="0" equalAverage="0" bottom="0" percent="0" rank="0" text="" dxfId="0">
      <formula>ISNUMBER(SEARCH("OVER",S7))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7" min="3" style="0" width="18"/>
    <col collapsed="false" customWidth="true" hidden="false" outlineLevel="0" max="8" min="8" style="0" width="30"/>
  </cols>
  <sheetData>
    <row r="2" customFormat="false" ht="26.1" hidden="false" customHeight="true" outlineLevel="0" collapsed="false">
      <c r="B2" s="1" t="s">
        <v>105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10" t="s">
        <v>106</v>
      </c>
      <c r="C3" s="10"/>
      <c r="D3" s="10"/>
      <c r="E3" s="10"/>
      <c r="F3" s="10"/>
      <c r="G3" s="10"/>
      <c r="H3" s="10"/>
    </row>
    <row r="5" customFormat="false" ht="30" hidden="false" customHeight="true" outlineLevel="0" collapsed="false">
      <c r="B5" s="16" t="s">
        <v>107</v>
      </c>
      <c r="C5" s="16" t="s">
        <v>28</v>
      </c>
      <c r="D5" s="16" t="s">
        <v>31</v>
      </c>
      <c r="E5" s="27" t="s">
        <v>108</v>
      </c>
      <c r="F5" s="27"/>
      <c r="G5" s="27"/>
      <c r="H5" s="27"/>
    </row>
    <row r="6" customFormat="false" ht="15" hidden="false" customHeight="true" outlineLevel="0" collapsed="false">
      <c r="B6" s="11" t="s">
        <v>109</v>
      </c>
      <c r="C6" s="35" t="n">
        <f aca="false">IFERROR('Setup &amp; Dashboard'!D15,0)</f>
        <v>0</v>
      </c>
      <c r="D6" s="35" t="n">
        <f aca="false">IFERROR('Setup &amp; Dashboard'!G15,0)</f>
        <v>0</v>
      </c>
      <c r="E6" s="36" t="s">
        <v>110</v>
      </c>
      <c r="F6" s="36"/>
      <c r="G6" s="36"/>
      <c r="H6" s="36"/>
    </row>
    <row r="7" customFormat="false" ht="15" hidden="false" customHeight="true" outlineLevel="0" collapsed="false">
      <c r="B7" s="11" t="s">
        <v>111</v>
      </c>
      <c r="C7" s="35" t="n">
        <f aca="false">SUM('Payday Tracker'!F7:F32)</f>
        <v>0</v>
      </c>
      <c r="D7" s="35" t="n">
        <f aca="false">SUM('Payday Tracker'!I7:I32)</f>
        <v>0</v>
      </c>
      <c r="E7" s="36" t="s">
        <v>112</v>
      </c>
      <c r="F7" s="36"/>
      <c r="G7" s="36"/>
      <c r="H7" s="36"/>
    </row>
    <row r="8" customFormat="false" ht="15" hidden="false" customHeight="true" outlineLevel="0" collapsed="false">
      <c r="B8" s="37" t="s">
        <v>113</v>
      </c>
      <c r="C8" s="38" t="n">
        <f aca="false">C6-C7</f>
        <v>0</v>
      </c>
      <c r="D8" s="38" t="n">
        <f aca="false">D6-D7</f>
        <v>0</v>
      </c>
      <c r="E8" s="36" t="s">
        <v>114</v>
      </c>
      <c r="F8" s="36"/>
      <c r="G8" s="36"/>
      <c r="H8" s="36"/>
    </row>
    <row r="9" customFormat="false" ht="15" hidden="false" customHeight="false" outlineLevel="0" collapsed="false">
      <c r="B9" s="11" t="s">
        <v>115</v>
      </c>
      <c r="C9" s="35" t="n">
        <f aca="false">IFERROR('Setup &amp; Dashboard'!C15,0)</f>
        <v>0</v>
      </c>
      <c r="D9" s="35" t="n">
        <f aca="false">IFERROR('Setup &amp; Dashboard'!F15,0)</f>
        <v>0</v>
      </c>
      <c r="E9" s="36"/>
      <c r="F9" s="36"/>
      <c r="G9" s="36"/>
      <c r="H9" s="36"/>
    </row>
    <row r="10" customFormat="false" ht="28.35" hidden="false" customHeight="false" outlineLevel="0" collapsed="false">
      <c r="B10" s="37" t="s">
        <v>116</v>
      </c>
      <c r="C10" s="38" t="n">
        <f aca="false">C9+C7</f>
        <v>0</v>
      </c>
      <c r="D10" s="38" t="n">
        <f aca="false">D9+D7</f>
        <v>0</v>
      </c>
      <c r="E10" s="36"/>
      <c r="F10" s="36"/>
      <c r="G10" s="36"/>
      <c r="H10" s="36"/>
    </row>
    <row r="11" customFormat="false" ht="15" hidden="false" customHeight="true" outlineLevel="0" collapsed="false">
      <c r="B11" s="11" t="s">
        <v>117</v>
      </c>
      <c r="C11" s="39" t="n">
        <f aca="false">IF(OR('Setup &amp; Dashboard'!$C$23="",'Setup &amp; Dashboard'!$C$23=0),0,C10/'Setup &amp; Dashboard'!$C$23)</f>
        <v>0</v>
      </c>
      <c r="D11" s="39" t="n">
        <f aca="false">IF(OR('Setup &amp; Dashboard'!$C$23="",'Setup &amp; Dashboard'!$C$23=0),0,D10/'Setup &amp; Dashboard'!$C$23)</f>
        <v>0</v>
      </c>
      <c r="E11" s="36" t="s">
        <v>118</v>
      </c>
      <c r="F11" s="36"/>
      <c r="G11" s="36"/>
      <c r="H11" s="36"/>
    </row>
    <row r="12" customFormat="false" ht="15" hidden="false" customHeight="false" outlineLevel="0" collapsed="false">
      <c r="B12" s="11" t="s">
        <v>119</v>
      </c>
      <c r="C12" s="35" t="n">
        <f aca="false">IFERROR('Setup &amp; Dashboard'!E15,0)</f>
        <v>0</v>
      </c>
      <c r="D12" s="35" t="n">
        <f aca="false">IFERROR('Setup &amp; Dashboard'!H15,0)</f>
        <v>0</v>
      </c>
      <c r="E12" s="36"/>
      <c r="F12" s="36"/>
      <c r="G12" s="36"/>
      <c r="H12" s="36"/>
    </row>
    <row r="13" customFormat="false" ht="15" hidden="false" customHeight="true" outlineLevel="0" collapsed="false">
      <c r="B13" s="11" t="s">
        <v>120</v>
      </c>
      <c r="C13" s="40" t="str">
        <f aca="false">IF(OR(C12="",C12=0,C6="",C6=0),"—",ROUNDUP(C6/C12,0))</f>
        <v>—</v>
      </c>
      <c r="D13" s="40" t="str">
        <f aca="false">IF(OR(D12="",D12=0,D6="",D6=0),"—",ROUNDUP(D6/D12,0))</f>
        <v>—</v>
      </c>
      <c r="E13" s="36" t="s">
        <v>121</v>
      </c>
      <c r="F13" s="36"/>
      <c r="G13" s="36"/>
      <c r="H13" s="36"/>
    </row>
    <row r="14" customFormat="false" ht="15" hidden="false" customHeight="true" outlineLevel="0" collapsed="false">
      <c r="B14" s="41" t="s">
        <v>122</v>
      </c>
      <c r="C14" s="42" t="str">
        <f aca="false">C13</f>
        <v>—</v>
      </c>
      <c r="D14" s="42" t="str">
        <f aca="false">D13</f>
        <v>—</v>
      </c>
      <c r="E14" s="36" t="s">
        <v>123</v>
      </c>
      <c r="F14" s="36"/>
      <c r="G14" s="36"/>
      <c r="H14" s="36"/>
    </row>
    <row r="16" customFormat="false" ht="15" hidden="false" customHeight="false" outlineLevel="0" collapsed="false">
      <c r="B16" s="11" t="s">
        <v>124</v>
      </c>
      <c r="C16" s="35" t="n">
        <f aca="false">IFERROR('Setup &amp; Dashboard'!D14,0)</f>
        <v>0</v>
      </c>
      <c r="D16" s="35" t="n">
        <f aca="false">IFERROR('Setup &amp; Dashboard'!G14,0)</f>
        <v>0</v>
      </c>
      <c r="E16" s="36"/>
      <c r="F16" s="36"/>
      <c r="G16" s="36"/>
      <c r="H16" s="36"/>
    </row>
    <row r="17" customFormat="false" ht="15" hidden="false" customHeight="false" outlineLevel="0" collapsed="false">
      <c r="B17" s="11" t="s">
        <v>125</v>
      </c>
      <c r="C17" s="35" t="n">
        <f aca="false">SUM('Payday Tracker'!E7:E32)</f>
        <v>0</v>
      </c>
      <c r="D17" s="35" t="n">
        <f aca="false">SUM('Payday Tracker'!H7:H32)</f>
        <v>0</v>
      </c>
      <c r="E17" s="36"/>
      <c r="F17" s="36"/>
      <c r="G17" s="36"/>
      <c r="H17" s="36"/>
    </row>
    <row r="18" customFormat="false" ht="15" hidden="false" customHeight="false" outlineLevel="0" collapsed="false">
      <c r="B18" s="37" t="s">
        <v>126</v>
      </c>
      <c r="C18" s="38" t="n">
        <f aca="false">C16-C17</f>
        <v>0</v>
      </c>
      <c r="D18" s="38" t="n">
        <f aca="false">D16-D17</f>
        <v>0</v>
      </c>
      <c r="E18" s="36"/>
      <c r="F18" s="36"/>
      <c r="G18" s="36"/>
      <c r="H18" s="36"/>
    </row>
    <row r="20" customFormat="false" ht="15" hidden="false" customHeight="false" outlineLevel="0" collapsed="false">
      <c r="B20" s="11" t="s">
        <v>127</v>
      </c>
      <c r="C20" s="35" t="n">
        <f aca="false">IFERROR('Setup &amp; Dashboard'!D16,0)</f>
        <v>0</v>
      </c>
      <c r="D20" s="35" t="n">
        <f aca="false">IFERROR('Setup &amp; Dashboard'!G16,0)</f>
        <v>0</v>
      </c>
      <c r="E20" s="36"/>
      <c r="F20" s="36"/>
      <c r="G20" s="36"/>
      <c r="H20" s="36"/>
    </row>
    <row r="21" customFormat="false" ht="15" hidden="false" customHeight="false" outlineLevel="0" collapsed="false">
      <c r="B21" s="11" t="s">
        <v>128</v>
      </c>
      <c r="C21" s="35" t="n">
        <f aca="false">SUM('Payday Tracker'!G7:G32)</f>
        <v>0</v>
      </c>
      <c r="D21" s="35" t="n">
        <f aca="false">SUM('Payday Tracker'!J7:J32)</f>
        <v>0</v>
      </c>
      <c r="E21" s="36"/>
      <c r="F21" s="36"/>
      <c r="G21" s="36"/>
      <c r="H21" s="36"/>
    </row>
    <row r="22" customFormat="false" ht="15" hidden="false" customHeight="false" outlineLevel="0" collapsed="false">
      <c r="B22" s="37" t="s">
        <v>129</v>
      </c>
      <c r="C22" s="38" t="n">
        <f aca="false">C20-C21</f>
        <v>0</v>
      </c>
      <c r="D22" s="38" t="n">
        <f aca="false">D20-D21</f>
        <v>0</v>
      </c>
      <c r="E22" s="36"/>
      <c r="F22" s="36"/>
      <c r="G22" s="36"/>
      <c r="H22" s="36"/>
    </row>
    <row r="23" customFormat="false" ht="15" hidden="false" customHeight="false" outlineLevel="0" collapsed="false">
      <c r="B23" s="11" t="s">
        <v>130</v>
      </c>
      <c r="C23" s="35" t="n">
        <f aca="false">IFERROR('Setup &amp; Dashboard'!C16,0)</f>
        <v>0</v>
      </c>
      <c r="D23" s="35" t="n">
        <f aca="false">IFERROR('Setup &amp; Dashboard'!F16,0)</f>
        <v>0</v>
      </c>
      <c r="E23" s="36"/>
      <c r="F23" s="36"/>
      <c r="G23" s="36"/>
      <c r="H23" s="36"/>
    </row>
    <row r="24" customFormat="false" ht="15" hidden="false" customHeight="false" outlineLevel="0" collapsed="false">
      <c r="B24" s="37" t="s">
        <v>131</v>
      </c>
      <c r="C24" s="38" t="n">
        <f aca="false">C23+C21</f>
        <v>0</v>
      </c>
      <c r="D24" s="38" t="n">
        <f aca="false">D23+D21</f>
        <v>0</v>
      </c>
      <c r="E24" s="36"/>
      <c r="F24" s="36"/>
      <c r="G24" s="36"/>
      <c r="H24" s="36"/>
    </row>
    <row r="25" customFormat="false" ht="15" hidden="false" customHeight="true" outlineLevel="0" collapsed="false">
      <c r="B25" s="11" t="s">
        <v>132</v>
      </c>
      <c r="C25" s="39" t="n">
        <f aca="false">IF(OR('Setup &amp; Dashboard'!$C$24="",'Setup &amp; Dashboard'!$C$24=0),0,C24/'Setup &amp; Dashboard'!$C$24)</f>
        <v>0</v>
      </c>
      <c r="D25" s="39" t="n">
        <f aca="false">IF(OR('Setup &amp; Dashboard'!$C$24="",'Setup &amp; Dashboard'!$C$24=0),0,D24/'Setup &amp; Dashboard'!$C$24)</f>
        <v>0</v>
      </c>
      <c r="E25" s="36" t="s">
        <v>133</v>
      </c>
      <c r="F25" s="36"/>
      <c r="G25" s="36"/>
      <c r="H25" s="36"/>
    </row>
    <row r="27" customFormat="false" ht="24" hidden="false" customHeight="true" outlineLevel="0" collapsed="false">
      <c r="B27" s="6" t="s">
        <v>134</v>
      </c>
      <c r="C27" s="6"/>
      <c r="D27" s="6"/>
      <c r="E27" s="6"/>
      <c r="F27" s="6"/>
      <c r="G27" s="6"/>
      <c r="H27" s="6"/>
    </row>
    <row r="28" customFormat="false" ht="25.5" hidden="false" customHeight="true" outlineLevel="0" collapsed="false">
      <c r="B28" s="5" t="s">
        <v>135</v>
      </c>
      <c r="C28" s="5"/>
      <c r="D28" s="5"/>
      <c r="E28" s="5"/>
      <c r="F28" s="5"/>
      <c r="G28" s="5"/>
      <c r="H28" s="5"/>
    </row>
    <row r="29" customFormat="false" ht="25.5" hidden="false" customHeight="true" outlineLevel="0" collapsed="false">
      <c r="B29" s="5" t="s">
        <v>136</v>
      </c>
      <c r="C29" s="5"/>
      <c r="D29" s="5"/>
      <c r="E29" s="5"/>
      <c r="F29" s="5"/>
      <c r="G29" s="5"/>
      <c r="H29" s="5"/>
    </row>
    <row r="30" customFormat="false" ht="25.5" hidden="false" customHeight="true" outlineLevel="0" collapsed="false">
      <c r="B30" s="5" t="s">
        <v>137</v>
      </c>
      <c r="C30" s="5"/>
      <c r="D30" s="5"/>
      <c r="E30" s="5"/>
      <c r="F30" s="5"/>
      <c r="G30" s="5"/>
      <c r="H30" s="5"/>
    </row>
  </sheetData>
  <sheetProtection sheet="true" password="ce4b"/>
  <mergeCells count="25">
    <mergeCell ref="B2:H2"/>
    <mergeCell ref="B3:H3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6:H16"/>
    <mergeCell ref="E17:H17"/>
    <mergeCell ref="E18:H18"/>
    <mergeCell ref="E20:H20"/>
    <mergeCell ref="E21:H21"/>
    <mergeCell ref="E22:H22"/>
    <mergeCell ref="E23:H23"/>
    <mergeCell ref="E24:H24"/>
    <mergeCell ref="E25:H25"/>
    <mergeCell ref="B27:H27"/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34"/>
  </cols>
  <sheetData>
    <row r="2" customFormat="false" ht="26.1" hidden="false" customHeight="true" outlineLevel="0" collapsed="false">
      <c r="B2" s="1" t="s">
        <v>138</v>
      </c>
      <c r="C2" s="1"/>
      <c r="D2" s="1"/>
      <c r="E2" s="1"/>
      <c r="F2" s="1"/>
      <c r="G2" s="1"/>
      <c r="H2" s="1"/>
      <c r="I2" s="1"/>
    </row>
    <row r="3" customFormat="false" ht="27.75" hidden="false" customHeight="true" outlineLevel="0" collapsed="false">
      <c r="B3" s="30" t="s">
        <v>139</v>
      </c>
      <c r="C3" s="30"/>
      <c r="D3" s="30"/>
      <c r="E3" s="30"/>
      <c r="F3" s="30"/>
      <c r="G3" s="30"/>
      <c r="H3" s="30"/>
      <c r="I3" s="30"/>
    </row>
    <row r="4" customFormat="false" ht="15" hidden="false" customHeight="true" outlineLevel="0" collapsed="false">
      <c r="B4" s="13" t="s">
        <v>140</v>
      </c>
      <c r="C4" s="13"/>
      <c r="D4" s="13"/>
      <c r="E4" s="13"/>
      <c r="F4" s="13"/>
      <c r="G4" s="13"/>
      <c r="H4" s="13"/>
      <c r="I4" s="13"/>
    </row>
    <row r="6" customFormat="false" ht="30" hidden="false" customHeight="true" outlineLevel="0" collapsed="false">
      <c r="B6" s="16" t="s">
        <v>141</v>
      </c>
      <c r="C6" s="16" t="s">
        <v>72</v>
      </c>
      <c r="D6" s="16" t="s">
        <v>142</v>
      </c>
      <c r="E6" s="16" t="s">
        <v>143</v>
      </c>
      <c r="F6" s="16" t="s">
        <v>144</v>
      </c>
      <c r="G6" s="16" t="s">
        <v>145</v>
      </c>
      <c r="H6" s="16" t="s">
        <v>73</v>
      </c>
      <c r="I6" s="16" t="s">
        <v>146</v>
      </c>
    </row>
    <row r="7" customFormat="false" ht="15" hidden="false" customHeight="false" outlineLevel="0" collapsed="false">
      <c r="B7" s="43" t="s">
        <v>147</v>
      </c>
      <c r="C7" s="15"/>
      <c r="D7" s="15"/>
      <c r="E7" s="15"/>
      <c r="F7" s="19" t="n">
        <f aca="false">IFERROR(E7*'Setup &amp; Dashboard'!$C$7,0)</f>
        <v>0</v>
      </c>
      <c r="G7" s="20" t="n">
        <f aca="false">IFERROR(D7,0)+F7</f>
        <v>0</v>
      </c>
      <c r="H7" s="44" t="n">
        <f aca="false">IF(OR(C7="",C7=0),0,G7/C7)</f>
        <v>0</v>
      </c>
      <c r="I7" s="21" t="s">
        <v>148</v>
      </c>
    </row>
    <row r="8" customFormat="false" ht="15" hidden="false" customHeight="false" outlineLevel="0" collapsed="false">
      <c r="B8" s="43" t="s">
        <v>149</v>
      </c>
      <c r="C8" s="15"/>
      <c r="D8" s="15"/>
      <c r="E8" s="15"/>
      <c r="F8" s="19" t="n">
        <f aca="false">IFERROR(E8*'Setup &amp; Dashboard'!$C$7,0)</f>
        <v>0</v>
      </c>
      <c r="G8" s="20" t="n">
        <f aca="false">IFERROR(D8,0)+F8</f>
        <v>0</v>
      </c>
      <c r="H8" s="44" t="n">
        <f aca="false">IF(OR(C8="",C8=0),0,G8/C8)</f>
        <v>0</v>
      </c>
      <c r="I8" s="21" t="s">
        <v>150</v>
      </c>
    </row>
    <row r="9" customFormat="false" ht="15" hidden="false" customHeight="false" outlineLevel="0" collapsed="false">
      <c r="B9" s="43" t="s">
        <v>151</v>
      </c>
      <c r="C9" s="15"/>
      <c r="D9" s="15"/>
      <c r="E9" s="15"/>
      <c r="F9" s="19" t="n">
        <f aca="false">IFERROR(E9*'Setup &amp; Dashboard'!$C$7,0)</f>
        <v>0</v>
      </c>
      <c r="G9" s="20" t="n">
        <f aca="false">IFERROR(D9,0)+F9</f>
        <v>0</v>
      </c>
      <c r="H9" s="44" t="n">
        <f aca="false">IF(OR(C9="",C9=0),0,G9/C9)</f>
        <v>0</v>
      </c>
      <c r="I9" s="21" t="s">
        <v>152</v>
      </c>
    </row>
    <row r="10" customFormat="false" ht="15" hidden="false" customHeight="false" outlineLevel="0" collapsed="false">
      <c r="B10" s="43" t="s">
        <v>153</v>
      </c>
      <c r="C10" s="15"/>
      <c r="D10" s="15"/>
      <c r="E10" s="15"/>
      <c r="F10" s="19" t="n">
        <f aca="false">IFERROR(E10*'Setup &amp; Dashboard'!$C$7,0)</f>
        <v>0</v>
      </c>
      <c r="G10" s="20" t="n">
        <f aca="false">IFERROR(D10,0)+F10</f>
        <v>0</v>
      </c>
      <c r="H10" s="44" t="n">
        <f aca="false">IF(OR(C10="",C10=0),0,G10/C10)</f>
        <v>0</v>
      </c>
      <c r="I10" s="21" t="s">
        <v>154</v>
      </c>
    </row>
    <row r="11" customFormat="false" ht="15" hidden="false" customHeight="false" outlineLevel="0" collapsed="false">
      <c r="B11" s="45" t="s">
        <v>155</v>
      </c>
      <c r="C11" s="15"/>
      <c r="D11" s="15"/>
      <c r="E11" s="15"/>
      <c r="F11" s="19" t="n">
        <f aca="false">IFERROR(E11*'Setup &amp; Dashboard'!$C$7,0)</f>
        <v>0</v>
      </c>
      <c r="G11" s="20" t="n">
        <f aca="false">IFERROR(D11,0)+F11</f>
        <v>0</v>
      </c>
      <c r="H11" s="44" t="n">
        <f aca="false">IF(OR(C11="",C11=0),0,G11/C11)</f>
        <v>0</v>
      </c>
      <c r="I11" s="21"/>
    </row>
    <row r="12" customFormat="false" ht="15" hidden="false" customHeight="false" outlineLevel="0" collapsed="false">
      <c r="B12" s="45" t="s">
        <v>156</v>
      </c>
      <c r="C12" s="15"/>
      <c r="D12" s="15"/>
      <c r="E12" s="15"/>
      <c r="F12" s="19" t="n">
        <f aca="false">IFERROR(E12*'Setup &amp; Dashboard'!$C$7,0)</f>
        <v>0</v>
      </c>
      <c r="G12" s="20" t="n">
        <f aca="false">IFERROR(D12,0)+F12</f>
        <v>0</v>
      </c>
      <c r="H12" s="44" t="n">
        <f aca="false">IF(OR(C12="",C12=0),0,G12/C12)</f>
        <v>0</v>
      </c>
      <c r="I12" s="21"/>
    </row>
    <row r="13" customFormat="false" ht="26.85" hidden="false" customHeight="false" outlineLevel="0" collapsed="false">
      <c r="B13" s="46" t="s">
        <v>157</v>
      </c>
      <c r="C13" s="23" t="n">
        <f aca="false">SUM(C7:C12)</f>
        <v>0</v>
      </c>
      <c r="D13" s="23" t="n">
        <f aca="false">SUM(D7:D12)</f>
        <v>0</v>
      </c>
      <c r="E13" s="23" t="n">
        <f aca="false">SUM(E7:E12)</f>
        <v>0</v>
      </c>
      <c r="F13" s="23" t="n">
        <f aca="false">SUM(F7:F12)</f>
        <v>0</v>
      </c>
      <c r="G13" s="23" t="n">
        <f aca="false">SUM(G7:G12)</f>
        <v>0</v>
      </c>
      <c r="H13" s="47" t="n">
        <f aca="false">IF(OR(C13="",C13=0),0,G13/C13)</f>
        <v>0</v>
      </c>
      <c r="I13" s="26" t="s">
        <v>158</v>
      </c>
    </row>
    <row r="15" customFormat="false" ht="15" hidden="false" customHeight="true" outlineLevel="0" collapsed="false">
      <c r="B15" s="13" t="s">
        <v>159</v>
      </c>
      <c r="C15" s="13"/>
      <c r="D15" s="13"/>
      <c r="E15" s="13"/>
      <c r="F15" s="13"/>
      <c r="G15" s="13"/>
      <c r="H15" s="13"/>
      <c r="I15" s="13"/>
    </row>
  </sheetData>
  <sheetProtection sheet="true" password="ce4b"/>
  <mergeCells count="4">
    <mergeCell ref="B2:I2"/>
    <mergeCell ref="B3:I3"/>
    <mergeCell ref="B4:I4"/>
    <mergeCell ref="B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22"/>
  </cols>
  <sheetData>
    <row r="2" customFormat="false" ht="26.1" hidden="false" customHeight="true" outlineLevel="0" collapsed="false">
      <c r="B2" s="1" t="s">
        <v>160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48" t="s">
        <v>161</v>
      </c>
      <c r="C3" s="48"/>
      <c r="D3" s="48"/>
      <c r="E3" s="48"/>
      <c r="F3" s="48"/>
      <c r="G3" s="48"/>
    </row>
    <row r="5" customFormat="false" ht="24" hidden="false" customHeight="true" outlineLevel="0" collapsed="false">
      <c r="B5" s="6" t="s">
        <v>162</v>
      </c>
      <c r="C5" s="6"/>
      <c r="D5" s="6"/>
      <c r="E5" s="6"/>
      <c r="F5" s="6"/>
      <c r="G5" s="6"/>
    </row>
    <row r="6" customFormat="false" ht="27.75" hidden="false" customHeight="true" outlineLevel="0" collapsed="false">
      <c r="B6" s="49" t="s">
        <v>163</v>
      </c>
      <c r="C6" s="49"/>
      <c r="D6" s="49"/>
      <c r="E6" s="49"/>
      <c r="F6" s="49"/>
      <c r="G6" s="49"/>
    </row>
    <row r="7" customFormat="false" ht="15" hidden="false" customHeight="false" outlineLevel="0" collapsed="false">
      <c r="B7" s="49"/>
      <c r="C7" s="49"/>
      <c r="D7" s="49"/>
      <c r="E7" s="49"/>
      <c r="F7" s="49"/>
      <c r="G7" s="49"/>
    </row>
    <row r="9" customFormat="false" ht="24" hidden="false" customHeight="true" outlineLevel="0" collapsed="false">
      <c r="B9" s="6" t="s">
        <v>164</v>
      </c>
      <c r="C9" s="6"/>
      <c r="D9" s="6"/>
      <c r="E9" s="6"/>
      <c r="F9" s="6"/>
      <c r="G9" s="6"/>
    </row>
    <row r="10" customFormat="false" ht="27.75" hidden="false" customHeight="true" outlineLevel="0" collapsed="false">
      <c r="B10" s="49" t="s">
        <v>165</v>
      </c>
      <c r="C10" s="49"/>
      <c r="D10" s="49"/>
      <c r="E10" s="49"/>
      <c r="F10" s="49"/>
      <c r="G10" s="49"/>
    </row>
    <row r="11" customFormat="false" ht="15" hidden="false" customHeight="false" outlineLevel="0" collapsed="false">
      <c r="B11" s="49"/>
      <c r="C11" s="49"/>
      <c r="D11" s="49"/>
      <c r="E11" s="49"/>
      <c r="F11" s="49"/>
      <c r="G11" s="49"/>
    </row>
    <row r="13" customFormat="false" ht="24" hidden="false" customHeight="true" outlineLevel="0" collapsed="false">
      <c r="B13" s="6" t="s">
        <v>166</v>
      </c>
      <c r="C13" s="6"/>
      <c r="D13" s="6"/>
      <c r="E13" s="6"/>
      <c r="F13" s="6"/>
      <c r="G13" s="6"/>
    </row>
    <row r="14" customFormat="false" ht="27.75" hidden="false" customHeight="true" outlineLevel="0" collapsed="false">
      <c r="B14" s="49" t="s">
        <v>167</v>
      </c>
      <c r="C14" s="49"/>
      <c r="D14" s="49"/>
      <c r="E14" s="49"/>
      <c r="F14" s="49"/>
      <c r="G14" s="49"/>
    </row>
    <row r="15" customFormat="false" ht="15" hidden="false" customHeight="false" outlineLevel="0" collapsed="false">
      <c r="B15" s="49"/>
      <c r="C15" s="49"/>
      <c r="D15" s="49"/>
      <c r="E15" s="49"/>
      <c r="F15" s="49"/>
      <c r="G15" s="49"/>
    </row>
    <row r="17" customFormat="false" ht="24" hidden="false" customHeight="true" outlineLevel="0" collapsed="false">
      <c r="B17" s="6" t="s">
        <v>168</v>
      </c>
      <c r="C17" s="6"/>
      <c r="D17" s="6"/>
      <c r="E17" s="6"/>
      <c r="F17" s="6"/>
      <c r="G17" s="6"/>
    </row>
    <row r="18" customFormat="false" ht="27.75" hidden="false" customHeight="true" outlineLevel="0" collapsed="false">
      <c r="B18" s="49" t="s">
        <v>169</v>
      </c>
      <c r="C18" s="49"/>
      <c r="D18" s="49"/>
      <c r="E18" s="49"/>
      <c r="F18" s="49"/>
      <c r="G18" s="49"/>
    </row>
    <row r="19" customFormat="false" ht="15" hidden="false" customHeight="false" outlineLevel="0" collapsed="false">
      <c r="B19" s="49"/>
      <c r="C19" s="49"/>
      <c r="D19" s="49"/>
      <c r="E19" s="49"/>
      <c r="F19" s="49"/>
      <c r="G19" s="49"/>
    </row>
    <row r="21" customFormat="false" ht="24" hidden="false" customHeight="true" outlineLevel="0" collapsed="false">
      <c r="B21" s="6" t="s">
        <v>170</v>
      </c>
      <c r="C21" s="6"/>
      <c r="D21" s="6"/>
      <c r="E21" s="6"/>
      <c r="F21" s="6"/>
      <c r="G21" s="6"/>
    </row>
    <row r="22" customFormat="false" ht="27.75" hidden="false" customHeight="true" outlineLevel="0" collapsed="false">
      <c r="B22" s="49" t="s">
        <v>171</v>
      </c>
      <c r="C22" s="49"/>
      <c r="D22" s="49"/>
      <c r="E22" s="49"/>
      <c r="F22" s="49"/>
      <c r="G22" s="49"/>
    </row>
    <row r="23" customFormat="false" ht="15" hidden="false" customHeight="false" outlineLevel="0" collapsed="false">
      <c r="B23" s="49"/>
      <c r="C23" s="49"/>
      <c r="D23" s="49"/>
      <c r="E23" s="49"/>
      <c r="F23" s="49"/>
      <c r="G23" s="49"/>
    </row>
    <row r="25" customFormat="false" ht="24" hidden="false" customHeight="true" outlineLevel="0" collapsed="false">
      <c r="B25" s="6" t="s">
        <v>172</v>
      </c>
      <c r="C25" s="6"/>
      <c r="D25" s="6"/>
      <c r="E25" s="6"/>
      <c r="F25" s="6"/>
      <c r="G25" s="6"/>
    </row>
    <row r="26" customFormat="false" ht="27.75" hidden="false" customHeight="true" outlineLevel="0" collapsed="false">
      <c r="B26" s="49" t="s">
        <v>173</v>
      </c>
      <c r="C26" s="49"/>
      <c r="D26" s="49"/>
      <c r="E26" s="49"/>
      <c r="F26" s="49"/>
      <c r="G26" s="49"/>
    </row>
    <row r="27" customFormat="false" ht="15" hidden="false" customHeight="false" outlineLevel="0" collapsed="false">
      <c r="B27" s="49"/>
      <c r="C27" s="49"/>
      <c r="D27" s="49"/>
      <c r="E27" s="49"/>
      <c r="F27" s="49"/>
      <c r="G27" s="49"/>
    </row>
    <row r="29" customFormat="false" ht="15" hidden="false" customHeight="true" outlineLevel="0" collapsed="false">
      <c r="B29" s="50" t="s">
        <v>174</v>
      </c>
      <c r="C29" s="50"/>
      <c r="D29" s="50"/>
      <c r="E29" s="50"/>
      <c r="F29" s="50"/>
      <c r="G29" s="50"/>
    </row>
    <row r="30" customFormat="false" ht="15" hidden="false" customHeight="false" outlineLevel="0" collapsed="false">
      <c r="B30" s="50"/>
      <c r="C30" s="50"/>
      <c r="D30" s="50"/>
      <c r="E30" s="50"/>
      <c r="F30" s="50"/>
      <c r="G30" s="50"/>
    </row>
  </sheetData>
  <mergeCells count="15">
    <mergeCell ref="B2:G2"/>
    <mergeCell ref="B3:G3"/>
    <mergeCell ref="B5:G5"/>
    <mergeCell ref="B6:G7"/>
    <mergeCell ref="B9:G9"/>
    <mergeCell ref="B10:G11"/>
    <mergeCell ref="B13:G13"/>
    <mergeCell ref="B14:G15"/>
    <mergeCell ref="B17:G17"/>
    <mergeCell ref="B18:G19"/>
    <mergeCell ref="B21:G21"/>
    <mergeCell ref="B22:G23"/>
    <mergeCell ref="B25:G25"/>
    <mergeCell ref="B26:G27"/>
    <mergeCell ref="B29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8" min="3" style="0" width="16"/>
  </cols>
  <sheetData>
    <row r="2" customFormat="false" ht="26.1" hidden="false" customHeight="true" outlineLevel="0" collapsed="false">
      <c r="B2" s="1" t="s">
        <v>175</v>
      </c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B3" s="51" t="s">
        <v>176</v>
      </c>
      <c r="C3" s="51"/>
      <c r="D3" s="51"/>
      <c r="E3" s="51"/>
      <c r="F3" s="51"/>
      <c r="G3" s="51"/>
      <c r="H3" s="51"/>
    </row>
    <row r="4" customFormat="false" ht="15" hidden="false" customHeight="true" outlineLevel="0" collapsed="false">
      <c r="B4" s="13" t="s">
        <v>177</v>
      </c>
      <c r="C4" s="13"/>
      <c r="D4" s="13"/>
      <c r="E4" s="13"/>
      <c r="F4" s="13"/>
      <c r="G4" s="13"/>
      <c r="H4" s="13"/>
    </row>
    <row r="6" customFormat="false" ht="24" hidden="false" customHeight="true" outlineLevel="0" collapsed="false">
      <c r="B6" s="6" t="s">
        <v>178</v>
      </c>
      <c r="C6" s="6"/>
      <c r="D6" s="6"/>
      <c r="E6" s="6"/>
      <c r="F6" s="6"/>
      <c r="G6" s="6"/>
      <c r="H6" s="6"/>
    </row>
    <row r="7" customFormat="false" ht="30" hidden="false" customHeight="true" outlineLevel="0" collapsed="false">
      <c r="B7" s="16" t="s">
        <v>36</v>
      </c>
      <c r="C7" s="16" t="s">
        <v>179</v>
      </c>
      <c r="D7" s="16" t="s">
        <v>180</v>
      </c>
      <c r="E7" s="16" t="s">
        <v>181</v>
      </c>
      <c r="F7" s="16" t="s">
        <v>182</v>
      </c>
      <c r="G7" s="16" t="s">
        <v>183</v>
      </c>
      <c r="H7" s="16" t="s">
        <v>184</v>
      </c>
    </row>
    <row r="8" customFormat="false" ht="15" hidden="false" customHeight="false" outlineLevel="0" collapsed="false">
      <c r="B8" s="17" t="s">
        <v>43</v>
      </c>
      <c r="C8" s="19" t="n">
        <v>5000</v>
      </c>
      <c r="D8" s="19" t="n">
        <v>12000</v>
      </c>
      <c r="E8" s="19" t="n">
        <v>200</v>
      </c>
      <c r="F8" s="19" t="n">
        <v>3000</v>
      </c>
      <c r="G8" s="19" t="n">
        <v>9000</v>
      </c>
      <c r="H8" s="19" t="n">
        <v>150</v>
      </c>
    </row>
    <row r="9" customFormat="false" ht="15" hidden="false" customHeight="false" outlineLevel="0" collapsed="false">
      <c r="B9" s="17" t="s">
        <v>44</v>
      </c>
      <c r="C9" s="19" t="n">
        <v>2000</v>
      </c>
      <c r="D9" s="19" t="n">
        <v>16000</v>
      </c>
      <c r="E9" s="19" t="n">
        <v>300</v>
      </c>
      <c r="F9" s="19" t="n">
        <v>1000</v>
      </c>
      <c r="G9" s="19" t="n">
        <v>16000</v>
      </c>
      <c r="H9" s="19" t="n">
        <v>250</v>
      </c>
    </row>
    <row r="10" customFormat="false" ht="15" hidden="false" customHeight="false" outlineLevel="0" collapsed="false">
      <c r="B10" s="17" t="s">
        <v>45</v>
      </c>
      <c r="C10" s="19" t="n">
        <v>8000</v>
      </c>
      <c r="D10" s="19" t="n">
        <v>25000</v>
      </c>
      <c r="E10" s="19" t="n">
        <v>100</v>
      </c>
      <c r="F10" s="19" t="n">
        <v>4000</v>
      </c>
      <c r="G10" s="19" t="n">
        <v>18000</v>
      </c>
      <c r="H10" s="19" t="n">
        <v>100</v>
      </c>
    </row>
    <row r="12" customFormat="false" ht="24" hidden="false" customHeight="true" outlineLevel="0" collapsed="false">
      <c r="B12" s="6" t="s">
        <v>185</v>
      </c>
      <c r="C12" s="6"/>
      <c r="D12" s="6"/>
      <c r="E12" s="6"/>
      <c r="F12" s="6"/>
      <c r="G12" s="6"/>
      <c r="H12" s="6"/>
    </row>
    <row r="13" customFormat="false" ht="30" hidden="false" customHeight="true" outlineLevel="0" collapsed="false">
      <c r="B13" s="16" t="s">
        <v>36</v>
      </c>
      <c r="C13" s="16" t="s">
        <v>186</v>
      </c>
      <c r="D13" s="16" t="s">
        <v>187</v>
      </c>
      <c r="E13" s="16" t="s">
        <v>188</v>
      </c>
      <c r="F13" s="16" t="s">
        <v>146</v>
      </c>
      <c r="G13" s="16"/>
      <c r="H13" s="16"/>
    </row>
    <row r="14" customFormat="false" ht="15" hidden="false" customHeight="false" outlineLevel="0" collapsed="false">
      <c r="B14" s="17" t="s">
        <v>43</v>
      </c>
      <c r="C14" s="19" t="n">
        <f aca="false">E8*26</f>
        <v>5200</v>
      </c>
      <c r="D14" s="19" t="n">
        <f aca="false">H8*26</f>
        <v>3900</v>
      </c>
      <c r="E14" s="20" t="n">
        <f aca="false">C14+D14</f>
        <v>9100</v>
      </c>
      <c r="F14" s="20" t="n">
        <f aca="false">C8+F8+E14</f>
        <v>17100</v>
      </c>
      <c r="G14" s="36"/>
      <c r="H14" s="36"/>
    </row>
    <row r="15" customFormat="false" ht="15" hidden="false" customHeight="true" outlineLevel="0" collapsed="false">
      <c r="B15" s="17" t="s">
        <v>44</v>
      </c>
      <c r="C15" s="19" t="n">
        <f aca="false">E9*26</f>
        <v>7800</v>
      </c>
      <c r="D15" s="19" t="n">
        <f aca="false">H9*26</f>
        <v>6500</v>
      </c>
      <c r="E15" s="20" t="n">
        <f aca="false">C15+D15</f>
        <v>14300</v>
      </c>
      <c r="F15" s="20" t="n">
        <f aca="false">C9+F9+E15</f>
        <v>17300</v>
      </c>
      <c r="G15" s="36" t="s">
        <v>189</v>
      </c>
      <c r="H15" s="36"/>
    </row>
    <row r="16" customFormat="false" ht="15" hidden="false" customHeight="false" outlineLevel="0" collapsed="false">
      <c r="B16" s="17" t="s">
        <v>45</v>
      </c>
      <c r="C16" s="19" t="n">
        <f aca="false">E10*26</f>
        <v>2600</v>
      </c>
      <c r="D16" s="19" t="n">
        <f aca="false">H10*26</f>
        <v>2600</v>
      </c>
      <c r="E16" s="20" t="n">
        <f aca="false">C16+D16</f>
        <v>5200</v>
      </c>
      <c r="F16" s="20" t="n">
        <f aca="false">C10+F10+E16</f>
        <v>17200</v>
      </c>
      <c r="G16" s="36"/>
      <c r="H16" s="36"/>
    </row>
    <row r="17" customFormat="false" ht="15" hidden="false" customHeight="true" outlineLevel="0" collapsed="false">
      <c r="B17" s="22" t="s">
        <v>64</v>
      </c>
      <c r="C17" s="23" t="n">
        <f aca="false">SUM(C14:C16)</f>
        <v>15600</v>
      </c>
      <c r="D17" s="23" t="n">
        <f aca="false">SUM(D14:D16)</f>
        <v>13000</v>
      </c>
      <c r="E17" s="23" t="n">
        <f aca="false">SUM(E14:E16)</f>
        <v>28600</v>
      </c>
      <c r="F17" s="23" t="n">
        <f aca="false">SUM(F14:F16)</f>
        <v>51600</v>
      </c>
      <c r="G17" s="52" t="s">
        <v>190</v>
      </c>
      <c r="H17" s="52"/>
    </row>
    <row r="19" customFormat="false" ht="24" hidden="false" customHeight="true" outlineLevel="0" collapsed="false">
      <c r="B19" s="6" t="s">
        <v>191</v>
      </c>
      <c r="C19" s="6"/>
      <c r="D19" s="6"/>
      <c r="E19" s="6"/>
      <c r="F19" s="6"/>
      <c r="G19" s="6"/>
      <c r="H19" s="6"/>
    </row>
    <row r="20" customFormat="false" ht="30" hidden="false" customHeight="true" outlineLevel="0" collapsed="false">
      <c r="B20" s="16" t="s">
        <v>85</v>
      </c>
      <c r="C20" s="16" t="s">
        <v>192</v>
      </c>
      <c r="D20" s="16" t="s">
        <v>193</v>
      </c>
      <c r="E20" s="16" t="s">
        <v>194</v>
      </c>
      <c r="F20" s="16" t="s">
        <v>195</v>
      </c>
      <c r="G20" s="16" t="s">
        <v>196</v>
      </c>
      <c r="H20" s="16" t="s">
        <v>197</v>
      </c>
    </row>
    <row r="21" customFormat="false" ht="15" hidden="false" customHeight="false" outlineLevel="0" collapsed="false">
      <c r="B21" s="17" t="s">
        <v>198</v>
      </c>
      <c r="C21" s="19" t="n">
        <v>200</v>
      </c>
      <c r="D21" s="19" t="n">
        <v>300</v>
      </c>
      <c r="E21" s="19" t="n">
        <v>100</v>
      </c>
      <c r="F21" s="19" t="n">
        <v>150</v>
      </c>
      <c r="G21" s="19" t="n">
        <v>250</v>
      </c>
      <c r="H21" s="19" t="n">
        <v>100</v>
      </c>
    </row>
    <row r="22" customFormat="false" ht="15" hidden="false" customHeight="false" outlineLevel="0" collapsed="false">
      <c r="B22" s="17" t="s">
        <v>199</v>
      </c>
      <c r="C22" s="19" t="n">
        <v>200</v>
      </c>
      <c r="D22" s="19" t="n">
        <v>300</v>
      </c>
      <c r="E22" s="19" t="n">
        <v>100</v>
      </c>
      <c r="F22" s="19" t="n">
        <v>150</v>
      </c>
      <c r="G22" s="19" t="n">
        <v>250</v>
      </c>
      <c r="H22" s="19" t="n">
        <v>100</v>
      </c>
    </row>
    <row r="23" customFormat="false" ht="15" hidden="false" customHeight="false" outlineLevel="0" collapsed="false">
      <c r="B23" s="17" t="s">
        <v>200</v>
      </c>
      <c r="C23" s="19" t="n">
        <v>200</v>
      </c>
      <c r="D23" s="19" t="n">
        <v>300</v>
      </c>
      <c r="E23" s="19" t="n">
        <v>100</v>
      </c>
      <c r="F23" s="19" t="n">
        <v>150</v>
      </c>
      <c r="G23" s="19" t="n">
        <v>250</v>
      </c>
      <c r="H23" s="19" t="n">
        <v>100</v>
      </c>
    </row>
    <row r="24" customFormat="false" ht="15" hidden="false" customHeight="false" outlineLevel="0" collapsed="false">
      <c r="B24" s="17" t="s">
        <v>201</v>
      </c>
      <c r="C24" s="19" t="n">
        <v>200</v>
      </c>
      <c r="D24" s="19" t="n">
        <v>300</v>
      </c>
      <c r="E24" s="19" t="n">
        <v>100</v>
      </c>
      <c r="F24" s="19" t="n">
        <v>150</v>
      </c>
      <c r="G24" s="19" t="n">
        <v>250</v>
      </c>
      <c r="H24" s="19" t="n">
        <v>100</v>
      </c>
    </row>
    <row r="26" customFormat="false" ht="15" hidden="false" customHeight="true" outlineLevel="0" collapsed="false">
      <c r="B26" s="13" t="s">
        <v>202</v>
      </c>
      <c r="C26" s="13"/>
      <c r="D26" s="13"/>
      <c r="E26" s="13"/>
      <c r="F26" s="13"/>
      <c r="G26" s="13"/>
      <c r="H26" s="13"/>
    </row>
    <row r="27" customFormat="false" ht="15" hidden="false" customHeight="true" outlineLevel="0" collapsed="false">
      <c r="B27" s="13" t="s">
        <v>203</v>
      </c>
      <c r="C27" s="13"/>
      <c r="D27" s="13"/>
      <c r="E27" s="13"/>
      <c r="F27" s="13"/>
      <c r="G27" s="13"/>
      <c r="H27" s="13"/>
    </row>
  </sheetData>
  <mergeCells count="13">
    <mergeCell ref="B2:H2"/>
    <mergeCell ref="B3:H3"/>
    <mergeCell ref="B4:H4"/>
    <mergeCell ref="B6:H6"/>
    <mergeCell ref="B12:H12"/>
    <mergeCell ref="F13:H13"/>
    <mergeCell ref="G14:H14"/>
    <mergeCell ref="G15:H15"/>
    <mergeCell ref="G16:H16"/>
    <mergeCell ref="G17:H17"/>
    <mergeCell ref="B19:H19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2026-10-22T21:52:17Z</dcterms:created>
  <dc:creator>Maple Money Hacks</dc:creator>
  <dc:description>Automate your payday. Never over-contribute again. A Canadian TFSA, FHSA and RRSP tracker for individuals and couples.</dc:description>
  <cp:keywords>TFSA FHSA RRSP Canada savings tracker Maple Money Hacks</cp:keywords>
  <dc:language>en-US</dc:language>
  <cp:lastModifiedBy/>
  <dcterms:modified xsi:type="dcterms:W3CDTF">2026-10-22T21:52:18Z</dcterms:modified>
  <cp:revision>0</cp:revision>
  <dc:subject/>
  <dc:title>Pay Yourself First — Canadian TFSA · FHSA · RRSP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