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Monthly Budget" sheetId="2" state="visible" r:id="rId4"/>
    <sheet name="Month-End Review" sheetId="3" state="visible" r:id="rId5"/>
  </sheets>
  <definedNames>
    <definedName function="false" hidden="false" localSheetId="2" name="_xlnm.Print_Area" vbProcedure="false">'Month-End Review'!$B$2:$N$49</definedName>
    <definedName function="false" hidden="false" localSheetId="2" name="_xlnm.Print_Titles" vbProcedure="false">'Month-End Review'!$2:$4</definedName>
    <definedName function="false" hidden="false" localSheetId="1" name="_xlnm.Print_Area" vbProcedure="false">'Monthly Budget'!$B$2:$P$112</definedName>
    <definedName function="false" hidden="false" localSheetId="1" name="_xlnm.Print_Titles" vbProcedure="false">'Monthly Budget'!$2:$5</definedName>
    <definedName function="false" hidden="false" localSheetId="0" name="_xlnm.Print_Area" vbProcedure="false">'Start Here'!$B$2:$G$29</definedName>
    <definedName function="false" hidden="false" localSheetId="0" name="_xlnm.Print_Titles" vbProcedure="false">'Start Here'!$2:$4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<sst xmlns="http://schemas.openxmlformats.org/spreadsheetml/2006/main" count="383" uniqueCount="185">
  <si>
    <t xml:space="preserve">  MONTHLY EXPENSE TRACKER</t>
  </si>
  <si>
    <t xml:space="preserve">See the whole month — together.  •  by Maple Money Hacks</t>
  </si>
  <si>
    <t xml:space="preserve">Track daily on your phone. Review monthly on one page.</t>
  </si>
  <si>
    <t xml:space="preserve">  THE 3-STEP RITUAL</t>
  </si>
  <si>
    <t xml:space="preserve">1  •  CAPTURE DAILY (30 seconds) — Track every expense, every day, in any expense-manager app on your phone. Use the same category names as this sheet so month-end takes minutes, not detective work.</t>
  </si>
  <si>
    <t xml:space="preserve">2  •  TOTAL MONTHLY (10 minutes) — At month-end, open the Monthly Budget sheet, set the Year, and drop each category's monthly total into the matching yellow cell. Income goes at the top; savings and investing count as money out, because they left your spending account.</t>
  </si>
  <si>
    <t xml:space="preserve">3  •  REVIEW TOGETHER (20 minutes) — Open Month-End Review with your partner. It totals money in, money out and what you kept, and names your three biggest expense categories automatically.</t>
  </si>
  <si>
    <t xml:space="preserve">  YOUR 20-MINUTE MONEY DATE</t>
  </si>
  <si>
    <t xml:space="preserve">•  What was our biggest category — and was it worth it?</t>
  </si>
  <si>
    <t xml:space="preserve">•  What is ONE thing we will trim next month? Pick one, write it in the review sheet, and stop there.</t>
  </si>
  <si>
    <t xml:space="preserve">•  What is ONE win? A bill you lowered, a category you tamed, money you actually saved. Write that down too.</t>
  </si>
  <si>
    <t xml:space="preserve">•  No blame, no line-by-line audit. The goal is one calm look at the whole month, then close the sheet until next month.</t>
  </si>
  <si>
    <t xml:space="preserve">  HOW THE SHEETS WORK</t>
  </si>
  <si>
    <t xml:space="preserve">Monthly Budget — One column per month (JAN–DEC) and a YEAR total. Keep your category rows, rename a label in column B if your household calls it something else, and add your monthly totals from your app.</t>
  </si>
  <si>
    <t xml:space="preserve">Month-End Review — Money in, money out, amount kept and savings rate for every month, plus your Top 3 expense categories. The last two columns are yours: one trim and one win from your money date.</t>
  </si>
  <si>
    <t xml:space="preserve">Yellow cells = your inputs.  Pale green cells = formulas — please don't overwrite them.  All amounts are in Canadian dollars (CAD). No macros.</t>
  </si>
  <si>
    <t xml:space="preserve">  GOOD TO KNOW</t>
  </si>
  <si>
    <t xml:space="preserve">Works with Microsoft Excel and Google Sheets (File → Import). All formulas use widely supported functions.</t>
  </si>
  <si>
    <t xml:space="preserve">This sheet is the monthly review layer, not a daily-entry app — your phone app does the daily capturing; this page does the seeing-clearly.</t>
  </si>
  <si>
    <t xml:space="preserve">Version 1.0  •  Any year: set the year once on the Monthly Budget sheet and reuse the same file, or save a copy per year.</t>
  </si>
  <si>
    <t xml:space="preserve">DISCLAIMER: This tracker is an organization and education tool. It is not financial, tax, or investment advice. Your numbers stay in your own file — nothing is uploaded or shared by this workbook.</t>
  </si>
  <si>
    <t xml:space="preserve">© Maple Money Hacks — Licensed for personal household use only. Not for resale or redistribution.</t>
  </si>
  <si>
    <t xml:space="preserve">MONTHLY EXPENSE TRACKER</t>
  </si>
  <si>
    <t xml:space="preserve">Maple Money Hacks  •  Daily totals in your app — monthly totals here  •  All amounts in CAD</t>
  </si>
  <si>
    <t xml:space="preserve">Year:</t>
  </si>
  <si>
    <t xml:space="preserve">Type the year once. Yellow cells are monthly totals from your expense app; pale green cells calculate themselves.</t>
  </si>
  <si>
    <t xml:space="preserve">Notes</t>
  </si>
  <si>
    <t xml:space="preserve">Category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</si>
  <si>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</si>
  <si>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</si>
  <si>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</si>
  <si>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</si>
  <si>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</si>
  <si>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</si>
  <si>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</si>
  <si>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</si>
  <si>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</si>
  <si>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</si>
  <si>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</si>
  <si>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</si>
  <si>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</t>
  </si>
  <si>
    <t xml:space="preserve">INCOME</t>
  </si>
  <si>
    <t xml:space="preserve">Wages &amp; salary</t>
  </si>
  <si>
    <t xml:space="preserve">Interest &amp; dividends</t>
  </si>
  <si>
    <t xml:space="preserve">Other income</t>
  </si>
  <si>
    <t xml:space="preserve">Total income</t>
  </si>
  <si>
    <t xml:space="preserve">HOME</t>
  </si>
  <si>
    <t xml:space="preserve">Rent or mortgage</t>
  </si>
  <si>
    <t xml:space="preserve">Home or renters insurance</t>
  </si>
  <si>
    <t xml:space="preserve">Phone bills</t>
  </si>
  <si>
    <t xml:space="preserve">Utilities</t>
  </si>
  <si>
    <t xml:space="preserve">Hydro, water, heating</t>
  </si>
  <si>
    <t xml:space="preserve">Total — Home</t>
  </si>
  <si>
    <t xml:space="preserve">DAILY LIVING</t>
  </si>
  <si>
    <t xml:space="preserve">Groceries</t>
  </si>
  <si>
    <t xml:space="preserve">Child care</t>
  </si>
  <si>
    <t xml:space="preserve">Dry cleaning &amp; laundry</t>
  </si>
  <si>
    <t xml:space="preserve">Dining out</t>
  </si>
  <si>
    <t xml:space="preserve">Housecleaning service</t>
  </si>
  <si>
    <t xml:space="preserve">Pet care</t>
  </si>
  <si>
    <t xml:space="preserve">Food, grooming, walking</t>
  </si>
  <si>
    <t xml:space="preserve">Total — Daily Living</t>
  </si>
  <si>
    <t xml:space="preserve">TRANSPORTATION</t>
  </si>
  <si>
    <t xml:space="preserve">Gas &amp; fuel</t>
  </si>
  <si>
    <t xml:space="preserve">Vehicle insurance</t>
  </si>
  <si>
    <t xml:space="preserve">Car payment</t>
  </si>
  <si>
    <t xml:space="preserve">Car wash &amp; detailing</t>
  </si>
  <si>
    <t xml:space="preserve">Parking &amp; repairs</t>
  </si>
  <si>
    <t xml:space="preserve">Public transportation</t>
  </si>
  <si>
    <t xml:space="preserve">Total — Transportation</t>
  </si>
  <si>
    <t xml:space="preserve">ENTERTAINMENT</t>
  </si>
  <si>
    <t xml:space="preserve">Cable &amp; streaming TV</t>
  </si>
  <si>
    <t xml:space="preserve">Movie rentals &amp; apps</t>
  </si>
  <si>
    <t xml:space="preserve">Movies &amp; theatre</t>
  </si>
  <si>
    <t xml:space="preserve">Concerts &amp; clubs</t>
  </si>
  <si>
    <t xml:space="preserve">Total — Entertainment</t>
  </si>
  <si>
    <t xml:space="preserve">HEALTH</t>
  </si>
  <si>
    <t xml:space="preserve">Health club dues</t>
  </si>
  <si>
    <t xml:space="preserve">Health insurance</t>
  </si>
  <si>
    <t xml:space="preserve">Prescriptions</t>
  </si>
  <si>
    <t xml:space="preserve">Over-the-counter medicine</t>
  </si>
  <si>
    <t xml:space="preserve">Co-payments &amp; out-of-pocket</t>
  </si>
  <si>
    <t xml:space="preserve">Veterinary &amp; pet medicine</t>
  </si>
  <si>
    <t xml:space="preserve">Life insurance</t>
  </si>
  <si>
    <t xml:space="preserve">Total — Health</t>
  </si>
  <si>
    <t xml:space="preserve">VACATIONS</t>
  </si>
  <si>
    <t xml:space="preserve">Flights</t>
  </si>
  <si>
    <t xml:space="preserve">Accommodations</t>
  </si>
  <si>
    <t xml:space="preserve">Food</t>
  </si>
  <si>
    <t xml:space="preserve">Souvenirs</t>
  </si>
  <si>
    <t xml:space="preserve">Pet boarding</t>
  </si>
  <si>
    <t xml:space="preserve">Rental car &amp; transport</t>
  </si>
  <si>
    <t xml:space="preserve">Total — Vacations</t>
  </si>
  <si>
    <t xml:space="preserve">RECREATION</t>
  </si>
  <si>
    <t xml:space="preserve">Gym fees</t>
  </si>
  <si>
    <t xml:space="preserve">Sports equipment</t>
  </si>
  <si>
    <t xml:space="preserve">Team dues</t>
  </si>
  <si>
    <t xml:space="preserve">Toys &amp; child gear</t>
  </si>
  <si>
    <t xml:space="preserve">Total — Recreation</t>
  </si>
  <si>
    <t xml:space="preserve">DUES &amp; SUBSCRIPTIONS</t>
  </si>
  <si>
    <t xml:space="preserve">Internet connection</t>
  </si>
  <si>
    <t xml:space="preserve">Device protection plan</t>
  </si>
  <si>
    <t xml:space="preserve">For phones &amp; computers</t>
  </si>
  <si>
    <t xml:space="preserve">Cloud storage</t>
  </si>
  <si>
    <t xml:space="preserve">Streaming &amp; apps</t>
  </si>
  <si>
    <t xml:space="preserve">Memberships</t>
  </si>
  <si>
    <t xml:space="preserve">Other subscriptions</t>
  </si>
  <si>
    <t xml:space="preserve">Total — Dues &amp; Subscriptions</t>
  </si>
  <si>
    <t xml:space="preserve">PERSONAL</t>
  </si>
  <si>
    <t xml:space="preserve">Clothing</t>
  </si>
  <si>
    <t xml:space="preserve">Gifts</t>
  </si>
  <si>
    <t xml:space="preserve">Salon &amp; barber</t>
  </si>
  <si>
    <t xml:space="preserve">Books</t>
  </si>
  <si>
    <t xml:space="preserve">Music</t>
  </si>
  <si>
    <t xml:space="preserve">Total — Personal</t>
  </si>
  <si>
    <t xml:space="preserve">FINANCIAL OBLIGATIONS</t>
  </si>
  <si>
    <t xml:space="preserve">RRSP</t>
  </si>
  <si>
    <t xml:space="preserve">Savings — counts as money out</t>
  </si>
  <si>
    <t xml:space="preserve">TFSA</t>
  </si>
  <si>
    <t xml:space="preserve">FHSA</t>
  </si>
  <si>
    <t xml:space="preserve">Employee RRSP</t>
  </si>
  <si>
    <t xml:space="preserve">Including group plans</t>
  </si>
  <si>
    <t xml:space="preserve">CPP</t>
  </si>
  <si>
    <t xml:space="preserve">EI</t>
  </si>
  <si>
    <t xml:space="preserve">Income taxes</t>
  </si>
  <si>
    <t xml:space="preserve">Emergency fund</t>
  </si>
  <si>
    <t xml:space="preserve">Other investments</t>
  </si>
  <si>
    <t xml:space="preserve">Debt payments</t>
  </si>
  <si>
    <t xml:space="preserve">Cards, loans, lines of credit</t>
  </si>
  <si>
    <t xml:space="preserve">Total — Financial Obligations</t>
  </si>
  <si>
    <t xml:space="preserve">MISCELLANEOUS PAYMENTS</t>
  </si>
  <si>
    <t xml:space="preserve">Bank fees &amp; services</t>
  </si>
  <si>
    <t xml:space="preserve">Coffee &amp; takeout</t>
  </si>
  <si>
    <t xml:space="preserve">Household items</t>
  </si>
  <si>
    <t xml:space="preserve">Driving licence &amp; fees</t>
  </si>
  <si>
    <t xml:space="preserve">Online shopping</t>
  </si>
  <si>
    <t xml:space="preserve">Other miscellaneous</t>
  </si>
  <si>
    <t xml:space="preserve">Total — Miscellaneous</t>
  </si>
  <si>
    <t xml:space="preserve">  TOTALS — WHAT CAME IN, WHAT WENT OUT, WHAT YOU KEPT</t>
  </si>
  <si>
    <t xml:space="preserve">Total out (spending + saving)</t>
  </si>
  <si>
    <t xml:space="preserve">Includes Financial Obligations</t>
  </si>
  <si>
    <t xml:space="preserve">Cash left / short</t>
  </si>
  <si>
    <t xml:space="preserve">Income minus total out</t>
  </si>
  <si>
    <t xml:space="preserve">Of which: savings &amp; investments</t>
  </si>
  <si>
    <t xml:space="preserve">Already included in Total out above</t>
  </si>
  <si>
    <t xml:space="preserve">MONTH-END REVIEW — YOUR 20-MINUTE MONEY DATE</t>
  </si>
  <si>
    <t xml:space="preserve">Everything calculates from the Monthly Budget sheet. Your only job: read the Top 3 together, then write ONE thing to trim and ONE win.</t>
  </si>
  <si>
    <t xml:space="preserve">Month</t>
  </si>
  <si>
    <t xml:space="preserve">Total in</t>
  </si>
  <si>
    <t xml:space="preserve">Total out</t>
  </si>
  <si>
    <t xml:space="preserve">Saved</t>
  </si>
  <si>
    <t xml:space="preserve">Savings rate</t>
  </si>
  <si>
    <t xml:space="preserve">Largest category</t>
  </si>
  <si>
    <t xml:space="preserve">Amount</t>
  </si>
  <si>
    <t xml:space="preserve">2nd largest</t>
  </si>
  <si>
    <t xml:space="preserve">3rd largest</t>
  </si>
  <si>
    <t xml:space="preserve">One thing to trim</t>
  </si>
  <si>
    <t xml:space="preserve">One win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</si>
  <si>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</si>
  <si>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</si>
  <si>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</si>
  <si>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</si>
  <si>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</si>
  <si>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</si>
  <si>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</si>
  <si>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</si>
  <si>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</si>
  <si>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</si>
  <si>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</si>
  <si>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</si>
  <si>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  EXPENSE CATEGORY TOTALS — automatic helper table (linked from Monthly Budget; do not type here)</t>
  </si>
  <si>
    <t xml:space="preserve">Expense category</t>
  </si>
  <si>
    <t xml:space="preserve">Home</t>
  </si>
  <si>
    <t xml:space="preserve">Daily Living</t>
  </si>
  <si>
    <t xml:space="preserve">Transportation</t>
  </si>
  <si>
    <t xml:space="preserve">Entertainment</t>
  </si>
  <si>
    <t xml:space="preserve">Health</t>
  </si>
  <si>
    <t xml:space="preserve">Vacations</t>
  </si>
  <si>
    <t xml:space="preserve">Recreation</t>
  </si>
  <si>
    <t xml:space="preserve">Dues &amp; Subscriptions</t>
  </si>
  <si>
    <t xml:space="preserve">Personal</t>
  </si>
  <si>
    <t xml:space="preserve">Financial Obligations</t>
  </si>
  <si>
    <t xml:space="preserve">Miscellaneous Payments</t>
  </si>
  <si>
    <t xml:space="preserve">  TOP-3 TIE-BREAK HELPER — automatic; adds less than one cent behind the scenes so equal categories never repeat in the Top 3</t>
  </si>
  <si>
    <t xml:space="preserve">Money-date rule: discuss the pattern, pick one trim, name one win — then close the sheet until next month.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</si>
</sst>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-#,##0.00"/>
    <numFmt numFmtId="166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FFFFFF"/>
      <name val="Calibri"/>
      <family val="0"/>
      <charset val="1"/>
    </font>
    <font>
      <b val="true"/>
      <sz val="12"/>
      <color rgb="FF1B4332"/>
      <name val="Calibri"/>
      <family val="0"/>
      <charset val="1"/>
    </font>
    <font>
      <b val="true"/>
      <sz val="12"/>
      <color rgb="FFC1272D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1"/>
      <color rgb="FF1A1A1A"/>
      <name val="Calibri"/>
      <family val="0"/>
      <charset val="1"/>
    </font>
    <font>
      <b val="true"/>
      <sz val="10"/>
      <color rgb="FFC1272D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1"/>
      <color rgb="FF1B4332"/>
      <name val="Calibri"/>
      <family val="0"/>
      <charset val="1"/>
    </font>
    <font>
      <b val="true"/>
      <sz val="12"/>
      <color rgb="FF1A1A1A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595959"/>
      <name val="Calibri"/>
      <family val="0"/>
      <charset val="1"/>
    </font>
    <font>
      <b val="true"/>
      <sz val="10"/>
      <color rgb="FF0A2E1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0A2E1D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0A2E1D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9"/>
      <color rgb="FF595959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4332"/>
        <bgColor rgb="FF0A2E1D"/>
      </patternFill>
    </fill>
    <fill>
      <patternFill patternType="solid">
        <fgColor rgb="FFF5E6C8"/>
        <bgColor rgb="FFF0E2C4"/>
      </patternFill>
    </fill>
    <fill>
      <patternFill patternType="solid">
        <fgColor rgb="FF2D6A4F"/>
        <bgColor rgb="FF595959"/>
      </patternFill>
    </fill>
    <fill>
      <patternFill patternType="solid">
        <fgColor rgb="FFC1272D"/>
        <bgColor rgb="FF993366"/>
      </patternFill>
    </fill>
    <fill>
      <patternFill patternType="solid">
        <fgColor rgb="FFFDECEC"/>
        <bgColor rgb="FFF5F0E1"/>
      </patternFill>
    </fill>
    <fill>
      <patternFill patternType="solid">
        <fgColor rgb="FFFFF2CC"/>
        <bgColor rgb="FFF5F0E1"/>
      </patternFill>
    </fill>
    <fill>
      <patternFill patternType="solid">
        <fgColor rgb="FFD4A93C"/>
        <bgColor rgb="FFFFCC00"/>
      </patternFill>
    </fill>
    <fill>
      <patternFill patternType="solid">
        <fgColor rgb="FFE2EFDA"/>
        <bgColor rgb="FFD9EAD3"/>
      </patternFill>
    </fill>
    <fill>
      <patternFill patternType="solid">
        <fgColor rgb="FFD9EAD3"/>
        <bgColor rgb="FFE2EFDA"/>
      </patternFill>
    </fill>
    <fill>
      <patternFill patternType="solid">
        <fgColor rgb="FFF0E2C4"/>
        <bgColor rgb="FFF5E6C8"/>
      </patternFill>
    </fill>
    <fill>
      <patternFill patternType="solid">
        <fgColor rgb="FFF5F0E1"/>
        <bgColor rgb="FFFDEC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BE"/>
      </left>
      <right style="thin">
        <color rgb="FFD8D2BE"/>
      </right>
      <top style="thin">
        <color rgb="FFD8D2BE"/>
      </top>
      <bottom style="thin">
        <color rgb="FFD8D2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9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D8D2BE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FDEC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0E1"/>
      <rgbColor rgb="FFD9EAD3"/>
      <rgbColor rgb="FFF5E6C8"/>
      <rgbColor rgb="FF99CCFF"/>
      <rgbColor rgb="FFFF99CC"/>
      <rgbColor rgb="FFCC99FF"/>
      <rgbColor rgb="FFF0E2C4"/>
      <rgbColor rgb="FF3366FF"/>
      <rgbColor rgb="FF33CCCC"/>
      <rgbColor rgb="FF99CC00"/>
      <rgbColor rgb="FFFFCC00"/>
      <rgbColor rgb="FFD4A93C"/>
      <rgbColor rgb="FFFF6600"/>
      <rgbColor rgb="FF595959"/>
      <rgbColor rgb="FF969696"/>
      <rgbColor rgb="FF003366"/>
      <rgbColor rgb="FF339966"/>
      <rgbColor rgb="FF0A2E1D"/>
      <rgbColor rgb="FF1A1A1A"/>
      <rgbColor rgb="FFC1272D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332"/>
    <pageSetUpPr fitToPage="true"/>
  </sheetPr>
  <dimension ref="B2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7" min="2" style="0" width="22"/>
  </cols>
  <sheetData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24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21.75" hidden="false" customHeight="true" outlineLevel="0" collapsed="false">
      <c r="B4" s="3" t="s">
        <v>2</v>
      </c>
      <c r="C4" s="3"/>
      <c r="D4" s="3"/>
      <c r="E4" s="3"/>
      <c r="F4" s="3"/>
      <c r="G4" s="3"/>
    </row>
    <row r="6" customFormat="false" ht="24" hidden="false" customHeight="true" outlineLevel="0" collapsed="false">
      <c r="B6" s="4" t="s">
        <v>3</v>
      </c>
      <c r="C6" s="4"/>
      <c r="D6" s="4"/>
      <c r="E6" s="4"/>
      <c r="F6" s="4"/>
      <c r="G6" s="4"/>
    </row>
    <row r="7" customFormat="false" ht="33.75" hidden="false" customHeight="true" outlineLevel="0" collapsed="false">
      <c r="B7" s="5" t="s">
        <v>4</v>
      </c>
      <c r="C7" s="5"/>
      <c r="D7" s="5"/>
      <c r="E7" s="5"/>
      <c r="F7" s="5"/>
      <c r="G7" s="5"/>
    </row>
    <row r="8" customFormat="false" ht="33.75" hidden="false" customHeight="true" outlineLevel="0" collapsed="false">
      <c r="B8" s="5" t="s">
        <v>5</v>
      </c>
      <c r="C8" s="5"/>
      <c r="D8" s="5"/>
      <c r="E8" s="5"/>
      <c r="F8" s="5"/>
      <c r="G8" s="5"/>
    </row>
    <row r="9" customFormat="false" ht="33.75" hidden="false" customHeight="true" outlineLevel="0" collapsed="false">
      <c r="B9" s="5" t="s">
        <v>6</v>
      </c>
      <c r="C9" s="5"/>
      <c r="D9" s="5"/>
      <c r="E9" s="5"/>
      <c r="F9" s="5"/>
      <c r="G9" s="5"/>
    </row>
    <row r="11" customFormat="false" ht="24" hidden="false" customHeight="true" outlineLevel="0" collapsed="false">
      <c r="B11" s="6" t="s">
        <v>7</v>
      </c>
      <c r="C11" s="6"/>
      <c r="D11" s="6"/>
      <c r="E11" s="6"/>
      <c r="F11" s="6"/>
      <c r="G11" s="6"/>
    </row>
    <row r="12" customFormat="false" ht="24" hidden="false" customHeight="true" outlineLevel="0" collapsed="false">
      <c r="B12" s="5" t="s">
        <v>8</v>
      </c>
      <c r="C12" s="5"/>
      <c r="D12" s="5"/>
      <c r="E12" s="5"/>
      <c r="F12" s="5"/>
      <c r="G12" s="5"/>
    </row>
    <row r="13" customFormat="false" ht="24" hidden="false" customHeight="true" outlineLevel="0" collapsed="false">
      <c r="B13" s="5" t="s">
        <v>9</v>
      </c>
      <c r="C13" s="5"/>
      <c r="D13" s="5"/>
      <c r="E13" s="5"/>
      <c r="F13" s="5"/>
      <c r="G13" s="5"/>
    </row>
    <row r="14" customFormat="false" ht="24" hidden="false" customHeight="true" outlineLevel="0" collapsed="false">
      <c r="B14" s="5" t="s">
        <v>10</v>
      </c>
      <c r="C14" s="5"/>
      <c r="D14" s="5"/>
      <c r="E14" s="5"/>
      <c r="F14" s="5"/>
      <c r="G14" s="5"/>
    </row>
    <row r="15" customFormat="false" ht="33.75" hidden="false" customHeight="true" outlineLevel="0" collapsed="false">
      <c r="B15" s="5" t="s">
        <v>11</v>
      </c>
      <c r="C15" s="5"/>
      <c r="D15" s="5"/>
      <c r="E15" s="5"/>
      <c r="F15" s="5"/>
      <c r="G15" s="5"/>
    </row>
    <row r="17" customFormat="false" ht="24" hidden="false" customHeight="true" outlineLevel="0" collapsed="false">
      <c r="B17" s="4" t="s">
        <v>12</v>
      </c>
      <c r="C17" s="4"/>
      <c r="D17" s="4"/>
      <c r="E17" s="4"/>
      <c r="F17" s="4"/>
      <c r="G17" s="4"/>
    </row>
    <row r="18" customFormat="false" ht="33.75" hidden="false" customHeight="true" outlineLevel="0" collapsed="false">
      <c r="B18" s="5" t="s">
        <v>13</v>
      </c>
      <c r="C18" s="5"/>
      <c r="D18" s="5"/>
      <c r="E18" s="5"/>
      <c r="F18" s="5"/>
      <c r="G18" s="5"/>
    </row>
    <row r="19" customFormat="false" ht="33.75" hidden="false" customHeight="true" outlineLevel="0" collapsed="false">
      <c r="B19" s="5" t="s">
        <v>14</v>
      </c>
      <c r="C19" s="5"/>
      <c r="D19" s="5"/>
      <c r="E19" s="5"/>
      <c r="F19" s="5"/>
      <c r="G19" s="5"/>
    </row>
    <row r="20" customFormat="false" ht="33.75" hidden="false" customHeight="true" outlineLevel="0" collapsed="false">
      <c r="B20" s="5" t="s">
        <v>15</v>
      </c>
      <c r="C20" s="5"/>
      <c r="D20" s="5"/>
      <c r="E20" s="5"/>
      <c r="F20" s="5"/>
      <c r="G20" s="5"/>
    </row>
    <row r="22" customFormat="false" ht="24" hidden="false" customHeight="true" outlineLevel="0" collapsed="false">
      <c r="B22" s="7" t="s">
        <v>16</v>
      </c>
      <c r="C22" s="7"/>
      <c r="D22" s="7"/>
      <c r="E22" s="7"/>
      <c r="F22" s="7"/>
      <c r="G22" s="7"/>
    </row>
    <row r="23" customFormat="false" ht="30" hidden="false" customHeight="true" outlineLevel="0" collapsed="false">
      <c r="B23" s="5" t="s">
        <v>17</v>
      </c>
      <c r="C23" s="5"/>
      <c r="D23" s="5"/>
      <c r="E23" s="5"/>
      <c r="F23" s="5"/>
      <c r="G23" s="5"/>
    </row>
    <row r="24" customFormat="false" ht="30" hidden="false" customHeight="true" outlineLevel="0" collapsed="false">
      <c r="B24" s="5" t="s">
        <v>18</v>
      </c>
      <c r="C24" s="5"/>
      <c r="D24" s="5"/>
      <c r="E24" s="5"/>
      <c r="F24" s="5"/>
      <c r="G24" s="5"/>
    </row>
    <row r="25" customFormat="false" ht="30" hidden="false" customHeight="true" outlineLevel="0" collapsed="false">
      <c r="B25" s="5" t="s">
        <v>19</v>
      </c>
      <c r="C25" s="5"/>
      <c r="D25" s="5"/>
      <c r="E25" s="5"/>
      <c r="F25" s="5"/>
      <c r="G25" s="5"/>
    </row>
    <row r="27" customFormat="false" ht="39.75" hidden="false" customHeight="true" outlineLevel="0" collapsed="false">
      <c r="B27" s="8" t="s">
        <v>20</v>
      </c>
      <c r="C27" s="8"/>
      <c r="D27" s="8"/>
      <c r="E27" s="8"/>
      <c r="F27" s="8"/>
      <c r="G27" s="8"/>
    </row>
    <row r="29" customFormat="false" ht="19.5" hidden="false" customHeight="true" outlineLevel="0" collapsed="false">
      <c r="B29" s="9" t="s">
        <v>21</v>
      </c>
      <c r="C29" s="9"/>
      <c r="D29" s="9"/>
      <c r="E29" s="9"/>
      <c r="F29" s="9"/>
      <c r="G29" s="9"/>
    </row>
  </sheetData>
  <mergeCells count="22">
    <mergeCell ref="B2:G2"/>
    <mergeCell ref="B3:G3"/>
    <mergeCell ref="B4:G4"/>
    <mergeCell ref="B6:G6"/>
    <mergeCell ref="B7:G7"/>
    <mergeCell ref="B8:G8"/>
    <mergeCell ref="B9:G9"/>
    <mergeCell ref="B11:G11"/>
    <mergeCell ref="B12:G12"/>
    <mergeCell ref="B13:G13"/>
    <mergeCell ref="B14:G14"/>
    <mergeCell ref="B15:G15"/>
    <mergeCell ref="B17:G17"/>
    <mergeCell ref="B18:G18"/>
    <mergeCell ref="B19:G19"/>
    <mergeCell ref="B20:G20"/>
    <mergeCell ref="B22:G22"/>
    <mergeCell ref="B23:G23"/>
    <mergeCell ref="B24:G24"/>
    <mergeCell ref="B25:G25"/>
    <mergeCell ref="B27:G27"/>
    <mergeCell ref="B29:G29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93C"/>
    <pageSetUpPr fitToPage="true"/>
  </sheetPr>
  <dimension ref="B2:P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4" min="3" style="0" width="13.5"/>
    <col collapsed="false" customWidth="true" hidden="false" outlineLevel="0" max="15" min="15" style="0" width="15"/>
    <col collapsed="false" customWidth="true" hidden="false" outlineLevel="0" max="16" min="16" style="0" width="30"/>
  </cols>
  <sheetData>
    <row r="2" customFormat="false" ht="31.5" hidden="false" customHeight="true" outlineLevel="0" collapsed="false">
      <c r="B2" s="10" t="s">
        <v>22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customFormat="false" ht="22.5" hidden="false" customHeight="true" outlineLevel="0" collapsed="false">
      <c r="B3" s="11" t="s">
        <v>23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customFormat="false" ht="21.75" hidden="false" customHeight="true" outlineLevel="0" collapsed="false">
      <c r="B4" s="12" t="s">
        <v>24</v>
      </c>
      <c r="C4" s="13"/>
      <c r="D4" s="14" t="s">
        <v>25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26</v>
      </c>
    </row>
    <row r="5" customFormat="false" ht="19.5" hidden="false" customHeight="true" outlineLevel="0" collapsed="false">
      <c r="B5" s="16" t="s">
        <v>27</v>
      </c>
      <c r="C5" s="17" t="s">
        <v>28</v>
      </c>
      <c r="D5" s="17" t="s">
        <v>29</v>
      </c>
      <c r="E5" s="17" t="s">
        <v>30</v>
      </c>
      <c r="F5" s="17" t="s">
        <v>31</v>
      </c>
      <c r="G5" s="17" t="s">
        <v>32</v>
      </c>
      <c r="H5" s="17" t="s">
        <v>33</v>
      </c>
      <c r="I5" s="17" t="s">
        <v>34</v>
      </c>
      <c r="J5" s="17" t="s">
        <v>35</v>
      </c>
      <c r="K5" s="17" t="s">
        <v>36</v>
      </c>
      <c r="L5" s="17" t="s">
        <v>37</v>
      </c>
      <c r="M5" s="17" t="s">
        <v>38</v>
      </c>
      <c r="N5" s="17" t="s">
        <v>39</v>
      </c>
      <c r="O5" s="17" t="s">
        <v>40</v>
      </c>
      <c r="P5" s="17" t="s">
        <v>26</v>
      </c>
    </row>
    <row r="6" customFormat="false" ht="21" hidden="false" customHeight="true" outlineLevel="0" collapsed="false">
      <c r="B6" s="18" t="s">
        <v>41</v>
      </c>
      <c r="C6" s="19" t="s">
        <v>28</v>
      </c>
      <c r="D6" s="19" t="s">
        <v>29</v>
      </c>
      <c r="E6" s="19" t="s">
        <v>30</v>
      </c>
      <c r="F6" s="19" t="s">
        <v>31</v>
      </c>
      <c r="G6" s="19" t="s">
        <v>32</v>
      </c>
      <c r="H6" s="19" t="s">
        <v>33</v>
      </c>
      <c r="I6" s="19" t="s">
        <v>34</v>
      </c>
      <c r="J6" s="19" t="s">
        <v>35</v>
      </c>
      <c r="K6" s="19" t="s">
        <v>36</v>
      </c>
      <c r="L6" s="19" t="s">
        <v>37</v>
      </c>
      <c r="M6" s="19" t="s">
        <v>38</v>
      </c>
      <c r="N6" s="19" t="s">
        <v>39</v>
      </c>
      <c r="O6" s="19" t="s">
        <v>40</v>
      </c>
      <c r="P6" s="20"/>
    </row>
    <row r="7" customFormat="false" ht="18" hidden="false" customHeight="true" outlineLevel="0" collapsed="false">
      <c r="B7" s="21" t="s">
        <v>42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 t="n">
        <f aca="false">SUM(C7:N7)</f>
        <v>0</v>
      </c>
      <c r="P7" s="24"/>
    </row>
    <row r="8" customFormat="false" ht="18" hidden="false" customHeight="true" outlineLevel="0" collapsed="false">
      <c r="B8" s="21" t="s">
        <v>43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3" t="n">
        <f aca="false">SUM(C8:N8)</f>
        <v>0</v>
      </c>
      <c r="P8" s="24"/>
    </row>
    <row r="9" customFormat="false" ht="18" hidden="false" customHeight="true" outlineLevel="0" collapsed="false">
      <c r="B9" s="21" t="s">
        <v>44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3" t="n">
        <f aca="false">SUM(C9:N9)</f>
        <v>0</v>
      </c>
      <c r="P9" s="24"/>
    </row>
    <row r="10" customFormat="false" ht="19.5" hidden="false" customHeight="true" outlineLevel="0" collapsed="false">
      <c r="B10" s="25" t="s">
        <v>45</v>
      </c>
      <c r="C10" s="26" t="n">
        <f aca="false">SUM(C7:C9)</f>
        <v>0</v>
      </c>
      <c r="D10" s="26" t="n">
        <f aca="false">SUM(D7:D9)</f>
        <v>0</v>
      </c>
      <c r="E10" s="26" t="n">
        <f aca="false">SUM(E7:E9)</f>
        <v>0</v>
      </c>
      <c r="F10" s="26" t="n">
        <f aca="false">SUM(F7:F9)</f>
        <v>0</v>
      </c>
      <c r="G10" s="26" t="n">
        <f aca="false">SUM(G7:G9)</f>
        <v>0</v>
      </c>
      <c r="H10" s="26" t="n">
        <f aca="false">SUM(H7:H9)</f>
        <v>0</v>
      </c>
      <c r="I10" s="26" t="n">
        <f aca="false">SUM(I7:I9)</f>
        <v>0</v>
      </c>
      <c r="J10" s="26" t="n">
        <f aca="false">SUM(J7:J9)</f>
        <v>0</v>
      </c>
      <c r="K10" s="26" t="n">
        <f aca="false">SUM(K7:K9)</f>
        <v>0</v>
      </c>
      <c r="L10" s="26" t="n">
        <f aca="false">SUM(L7:L9)</f>
        <v>0</v>
      </c>
      <c r="M10" s="26" t="n">
        <f aca="false">SUM(M7:M9)</f>
        <v>0</v>
      </c>
      <c r="N10" s="26" t="n">
        <f aca="false">SUM(N7:N9)</f>
        <v>0</v>
      </c>
      <c r="O10" s="26" t="n">
        <f aca="false">SUM(O7:O9)</f>
        <v>0</v>
      </c>
      <c r="P10" s="27"/>
    </row>
    <row r="11" customFormat="false" ht="6.75" hidden="false" customHeight="true" outlineLevel="0" collapsed="false"/>
    <row r="12" customFormat="false" ht="21" hidden="false" customHeight="true" outlineLevel="0" collapsed="false">
      <c r="B12" s="28" t="s">
        <v>46</v>
      </c>
      <c r="C12" s="29" t="s">
        <v>28</v>
      </c>
      <c r="D12" s="29" t="s">
        <v>29</v>
      </c>
      <c r="E12" s="29" t="s">
        <v>30</v>
      </c>
      <c r="F12" s="29" t="s">
        <v>31</v>
      </c>
      <c r="G12" s="29" t="s">
        <v>32</v>
      </c>
      <c r="H12" s="29" t="s">
        <v>33</v>
      </c>
      <c r="I12" s="29" t="s">
        <v>34</v>
      </c>
      <c r="J12" s="29" t="s">
        <v>35</v>
      </c>
      <c r="K12" s="29" t="s">
        <v>36</v>
      </c>
      <c r="L12" s="29" t="s">
        <v>37</v>
      </c>
      <c r="M12" s="29" t="s">
        <v>38</v>
      </c>
      <c r="N12" s="29" t="s">
        <v>39</v>
      </c>
      <c r="O12" s="29" t="s">
        <v>40</v>
      </c>
      <c r="P12" s="30"/>
    </row>
    <row r="13" customFormat="false" ht="18" hidden="false" customHeight="true" outlineLevel="0" collapsed="false">
      <c r="B13" s="21" t="s">
        <v>47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 t="n">
        <f aca="false">SUM(C13:N13)</f>
        <v>0</v>
      </c>
      <c r="P13" s="24"/>
    </row>
    <row r="14" customFormat="false" ht="18" hidden="false" customHeight="true" outlineLevel="0" collapsed="false">
      <c r="B14" s="21" t="s">
        <v>48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3" t="n">
        <f aca="false">SUM(C14:N14)</f>
        <v>0</v>
      </c>
      <c r="P14" s="24"/>
    </row>
    <row r="15" customFormat="false" ht="18" hidden="false" customHeight="true" outlineLevel="0" collapsed="false">
      <c r="B15" s="21" t="s">
        <v>49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 t="n">
        <f aca="false">SUM(C15:N15)</f>
        <v>0</v>
      </c>
      <c r="P15" s="24"/>
    </row>
    <row r="16" customFormat="false" ht="18" hidden="false" customHeight="true" outlineLevel="0" collapsed="false">
      <c r="B16" s="21" t="s">
        <v>50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 t="n">
        <f aca="false">SUM(C16:N16)</f>
        <v>0</v>
      </c>
      <c r="P16" s="24" t="s">
        <v>51</v>
      </c>
    </row>
    <row r="17" customFormat="false" ht="19.5" hidden="false" customHeight="true" outlineLevel="0" collapsed="false">
      <c r="B17" s="25" t="s">
        <v>52</v>
      </c>
      <c r="C17" s="26" t="n">
        <f aca="false">SUM(C13:C16)</f>
        <v>0</v>
      </c>
      <c r="D17" s="26" t="n">
        <f aca="false">SUM(D13:D16)</f>
        <v>0</v>
      </c>
      <c r="E17" s="26" t="n">
        <f aca="false">SUM(E13:E16)</f>
        <v>0</v>
      </c>
      <c r="F17" s="26" t="n">
        <f aca="false">SUM(F13:F16)</f>
        <v>0</v>
      </c>
      <c r="G17" s="26" t="n">
        <f aca="false">SUM(G13:G16)</f>
        <v>0</v>
      </c>
      <c r="H17" s="26" t="n">
        <f aca="false">SUM(H13:H16)</f>
        <v>0</v>
      </c>
      <c r="I17" s="26" t="n">
        <f aca="false">SUM(I13:I16)</f>
        <v>0</v>
      </c>
      <c r="J17" s="26" t="n">
        <f aca="false">SUM(J13:J16)</f>
        <v>0</v>
      </c>
      <c r="K17" s="26" t="n">
        <f aca="false">SUM(K13:K16)</f>
        <v>0</v>
      </c>
      <c r="L17" s="26" t="n">
        <f aca="false">SUM(L13:L16)</f>
        <v>0</v>
      </c>
      <c r="M17" s="26" t="n">
        <f aca="false">SUM(M13:M16)</f>
        <v>0</v>
      </c>
      <c r="N17" s="26" t="n">
        <f aca="false">SUM(N13:N16)</f>
        <v>0</v>
      </c>
      <c r="O17" s="26" t="n">
        <f aca="false">SUM(O13:O16)</f>
        <v>0</v>
      </c>
      <c r="P17" s="27"/>
    </row>
    <row r="18" customFormat="false" ht="6.75" hidden="false" customHeight="true" outlineLevel="0" collapsed="false"/>
    <row r="19" customFormat="false" ht="21" hidden="false" customHeight="true" outlineLevel="0" collapsed="false">
      <c r="B19" s="28" t="s">
        <v>53</v>
      </c>
      <c r="C19" s="29" t="s">
        <v>28</v>
      </c>
      <c r="D19" s="29" t="s">
        <v>29</v>
      </c>
      <c r="E19" s="29" t="s">
        <v>30</v>
      </c>
      <c r="F19" s="29" t="s">
        <v>31</v>
      </c>
      <c r="G19" s="29" t="s">
        <v>32</v>
      </c>
      <c r="H19" s="29" t="s">
        <v>33</v>
      </c>
      <c r="I19" s="29" t="s">
        <v>34</v>
      </c>
      <c r="J19" s="29" t="s">
        <v>35</v>
      </c>
      <c r="K19" s="29" t="s">
        <v>36</v>
      </c>
      <c r="L19" s="29" t="s">
        <v>37</v>
      </c>
      <c r="M19" s="29" t="s">
        <v>38</v>
      </c>
      <c r="N19" s="29" t="s">
        <v>39</v>
      </c>
      <c r="O19" s="29" t="s">
        <v>40</v>
      </c>
      <c r="P19" s="30"/>
    </row>
    <row r="20" customFormat="false" ht="18" hidden="false" customHeight="true" outlineLevel="0" collapsed="false">
      <c r="B20" s="21" t="s">
        <v>54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3" t="n">
        <f aca="false">SUM(C20:N20)</f>
        <v>0</v>
      </c>
      <c r="P20" s="24"/>
    </row>
    <row r="21" customFormat="false" ht="18" hidden="false" customHeight="true" outlineLevel="0" collapsed="false">
      <c r="B21" s="21" t="s">
        <v>55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3" t="n">
        <f aca="false">SUM(C21:N21)</f>
        <v>0</v>
      </c>
      <c r="P21" s="24"/>
    </row>
    <row r="22" customFormat="false" ht="18" hidden="false" customHeight="true" outlineLevel="0" collapsed="false">
      <c r="B22" s="21" t="s">
        <v>56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3" t="n">
        <f aca="false">SUM(C22:N22)</f>
        <v>0</v>
      </c>
      <c r="P22" s="24"/>
    </row>
    <row r="23" customFormat="false" ht="18" hidden="false" customHeight="true" outlineLevel="0" collapsed="false">
      <c r="B23" s="21" t="s">
        <v>57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3" t="n">
        <f aca="false">SUM(C23:N23)</f>
        <v>0</v>
      </c>
      <c r="P23" s="24"/>
    </row>
    <row r="24" customFormat="false" ht="18" hidden="false" customHeight="true" outlineLevel="0" collapsed="false">
      <c r="B24" s="21" t="s">
        <v>58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3" t="n">
        <f aca="false">SUM(C24:N24)</f>
        <v>0</v>
      </c>
      <c r="P24" s="24"/>
    </row>
    <row r="25" customFormat="false" ht="18" hidden="false" customHeight="true" outlineLevel="0" collapsed="false">
      <c r="B25" s="21" t="s">
        <v>59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3" t="n">
        <f aca="false">SUM(C25:N25)</f>
        <v>0</v>
      </c>
      <c r="P25" s="24" t="s">
        <v>60</v>
      </c>
    </row>
    <row r="26" customFormat="false" ht="19.5" hidden="false" customHeight="true" outlineLevel="0" collapsed="false">
      <c r="B26" s="25" t="s">
        <v>61</v>
      </c>
      <c r="C26" s="26" t="n">
        <f aca="false">SUM(C20:C25)</f>
        <v>0</v>
      </c>
      <c r="D26" s="26" t="n">
        <f aca="false">SUM(D20:D25)</f>
        <v>0</v>
      </c>
      <c r="E26" s="26" t="n">
        <f aca="false">SUM(E20:E25)</f>
        <v>0</v>
      </c>
      <c r="F26" s="26" t="n">
        <f aca="false">SUM(F20:F25)</f>
        <v>0</v>
      </c>
      <c r="G26" s="26" t="n">
        <f aca="false">SUM(G20:G25)</f>
        <v>0</v>
      </c>
      <c r="H26" s="26" t="n">
        <f aca="false">SUM(H20:H25)</f>
        <v>0</v>
      </c>
      <c r="I26" s="26" t="n">
        <f aca="false">SUM(I20:I25)</f>
        <v>0</v>
      </c>
      <c r="J26" s="26" t="n">
        <f aca="false">SUM(J20:J25)</f>
        <v>0</v>
      </c>
      <c r="K26" s="26" t="n">
        <f aca="false">SUM(K20:K25)</f>
        <v>0</v>
      </c>
      <c r="L26" s="26" t="n">
        <f aca="false">SUM(L20:L25)</f>
        <v>0</v>
      </c>
      <c r="M26" s="26" t="n">
        <f aca="false">SUM(M20:M25)</f>
        <v>0</v>
      </c>
      <c r="N26" s="26" t="n">
        <f aca="false">SUM(N20:N25)</f>
        <v>0</v>
      </c>
      <c r="O26" s="26" t="n">
        <f aca="false">SUM(O20:O25)</f>
        <v>0</v>
      </c>
      <c r="P26" s="27"/>
    </row>
    <row r="27" customFormat="false" ht="6.75" hidden="false" customHeight="true" outlineLevel="0" collapsed="false"/>
    <row r="28" customFormat="false" ht="21" hidden="false" customHeight="true" outlineLevel="0" collapsed="false">
      <c r="B28" s="28" t="s">
        <v>62</v>
      </c>
      <c r="C28" s="29" t="s">
        <v>28</v>
      </c>
      <c r="D28" s="29" t="s">
        <v>29</v>
      </c>
      <c r="E28" s="29" t="s">
        <v>30</v>
      </c>
      <c r="F28" s="29" t="s">
        <v>31</v>
      </c>
      <c r="G28" s="29" t="s">
        <v>32</v>
      </c>
      <c r="H28" s="29" t="s">
        <v>33</v>
      </c>
      <c r="I28" s="29" t="s">
        <v>34</v>
      </c>
      <c r="J28" s="29" t="s">
        <v>35</v>
      </c>
      <c r="K28" s="29" t="s">
        <v>36</v>
      </c>
      <c r="L28" s="29" t="s">
        <v>37</v>
      </c>
      <c r="M28" s="29" t="s">
        <v>38</v>
      </c>
      <c r="N28" s="29" t="s">
        <v>39</v>
      </c>
      <c r="O28" s="29" t="s">
        <v>40</v>
      </c>
      <c r="P28" s="30"/>
    </row>
    <row r="29" customFormat="false" ht="18" hidden="false" customHeight="true" outlineLevel="0" collapsed="false">
      <c r="B29" s="21" t="s">
        <v>63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3" t="n">
        <f aca="false">SUM(C29:N29)</f>
        <v>0</v>
      </c>
      <c r="P29" s="24"/>
    </row>
    <row r="30" customFormat="false" ht="18" hidden="false" customHeight="true" outlineLevel="0" collapsed="false">
      <c r="B30" s="21" t="s">
        <v>64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3" t="n">
        <f aca="false">SUM(C30:N30)</f>
        <v>0</v>
      </c>
      <c r="P30" s="24"/>
    </row>
    <row r="31" customFormat="false" ht="18" hidden="false" customHeight="true" outlineLevel="0" collapsed="false">
      <c r="B31" s="21" t="s">
        <v>65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3" t="n">
        <f aca="false">SUM(C31:N31)</f>
        <v>0</v>
      </c>
      <c r="P31" s="24"/>
    </row>
    <row r="32" customFormat="false" ht="18" hidden="false" customHeight="true" outlineLevel="0" collapsed="false">
      <c r="B32" s="21" t="s">
        <v>66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3" t="n">
        <f aca="false">SUM(C32:N32)</f>
        <v>0</v>
      </c>
      <c r="P32" s="24"/>
    </row>
    <row r="33" customFormat="false" ht="18" hidden="false" customHeight="true" outlineLevel="0" collapsed="false">
      <c r="B33" s="21" t="s">
        <v>67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3" t="n">
        <f aca="false">SUM(C33:N33)</f>
        <v>0</v>
      </c>
      <c r="P33" s="24"/>
    </row>
    <row r="34" customFormat="false" ht="18" hidden="false" customHeight="true" outlineLevel="0" collapsed="false">
      <c r="B34" s="21" t="s">
        <v>68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3" t="n">
        <f aca="false">SUM(C34:N34)</f>
        <v>0</v>
      </c>
      <c r="P34" s="24"/>
    </row>
    <row r="35" customFormat="false" ht="19.5" hidden="false" customHeight="true" outlineLevel="0" collapsed="false">
      <c r="B35" s="25" t="s">
        <v>69</v>
      </c>
      <c r="C35" s="26" t="n">
        <f aca="false">SUM(C29:C34)</f>
        <v>0</v>
      </c>
      <c r="D35" s="26" t="n">
        <f aca="false">SUM(D29:D34)</f>
        <v>0</v>
      </c>
      <c r="E35" s="26" t="n">
        <f aca="false">SUM(E29:E34)</f>
        <v>0</v>
      </c>
      <c r="F35" s="26" t="n">
        <f aca="false">SUM(F29:F34)</f>
        <v>0</v>
      </c>
      <c r="G35" s="26" t="n">
        <f aca="false">SUM(G29:G34)</f>
        <v>0</v>
      </c>
      <c r="H35" s="26" t="n">
        <f aca="false">SUM(H29:H34)</f>
        <v>0</v>
      </c>
      <c r="I35" s="26" t="n">
        <f aca="false">SUM(I29:I34)</f>
        <v>0</v>
      </c>
      <c r="J35" s="26" t="n">
        <f aca="false">SUM(J29:J34)</f>
        <v>0</v>
      </c>
      <c r="K35" s="26" t="n">
        <f aca="false">SUM(K29:K34)</f>
        <v>0</v>
      </c>
      <c r="L35" s="26" t="n">
        <f aca="false">SUM(L29:L34)</f>
        <v>0</v>
      </c>
      <c r="M35" s="26" t="n">
        <f aca="false">SUM(M29:M34)</f>
        <v>0</v>
      </c>
      <c r="N35" s="26" t="n">
        <f aca="false">SUM(N29:N34)</f>
        <v>0</v>
      </c>
      <c r="O35" s="26" t="n">
        <f aca="false">SUM(O29:O34)</f>
        <v>0</v>
      </c>
      <c r="P35" s="27"/>
    </row>
    <row r="36" customFormat="false" ht="6.75" hidden="false" customHeight="true" outlineLevel="0" collapsed="false"/>
    <row r="37" customFormat="false" ht="21" hidden="false" customHeight="true" outlineLevel="0" collapsed="false">
      <c r="B37" s="28" t="s">
        <v>70</v>
      </c>
      <c r="C37" s="29" t="s">
        <v>28</v>
      </c>
      <c r="D37" s="29" t="s">
        <v>29</v>
      </c>
      <c r="E37" s="29" t="s">
        <v>30</v>
      </c>
      <c r="F37" s="29" t="s">
        <v>31</v>
      </c>
      <c r="G37" s="29" t="s">
        <v>32</v>
      </c>
      <c r="H37" s="29" t="s">
        <v>33</v>
      </c>
      <c r="I37" s="29" t="s">
        <v>34</v>
      </c>
      <c r="J37" s="29" t="s">
        <v>35</v>
      </c>
      <c r="K37" s="29" t="s">
        <v>36</v>
      </c>
      <c r="L37" s="29" t="s">
        <v>37</v>
      </c>
      <c r="M37" s="29" t="s">
        <v>38</v>
      </c>
      <c r="N37" s="29" t="s">
        <v>39</v>
      </c>
      <c r="O37" s="29" t="s">
        <v>40</v>
      </c>
      <c r="P37" s="30"/>
    </row>
    <row r="38" customFormat="false" ht="18" hidden="false" customHeight="true" outlineLevel="0" collapsed="false">
      <c r="B38" s="21" t="s">
        <v>71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3" t="n">
        <f aca="false">SUM(C38:N38)</f>
        <v>0</v>
      </c>
      <c r="P38" s="24"/>
    </row>
    <row r="39" customFormat="false" ht="18" hidden="false" customHeight="true" outlineLevel="0" collapsed="false">
      <c r="B39" s="21" t="s">
        <v>72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3" t="n">
        <f aca="false">SUM(C39:N39)</f>
        <v>0</v>
      </c>
      <c r="P39" s="24"/>
    </row>
    <row r="40" customFormat="false" ht="18" hidden="false" customHeight="true" outlineLevel="0" collapsed="false">
      <c r="B40" s="21" t="s">
        <v>73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3" t="n">
        <f aca="false">SUM(C40:N40)</f>
        <v>0</v>
      </c>
      <c r="P40" s="24"/>
    </row>
    <row r="41" customFormat="false" ht="18" hidden="false" customHeight="true" outlineLevel="0" collapsed="false">
      <c r="B41" s="21" t="s">
        <v>74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3" t="n">
        <f aca="false">SUM(C41:N41)</f>
        <v>0</v>
      </c>
      <c r="P41" s="24"/>
    </row>
    <row r="42" customFormat="false" ht="19.5" hidden="false" customHeight="true" outlineLevel="0" collapsed="false">
      <c r="B42" s="25" t="s">
        <v>75</v>
      </c>
      <c r="C42" s="26" t="n">
        <f aca="false">SUM(C38:C41)</f>
        <v>0</v>
      </c>
      <c r="D42" s="26" t="n">
        <f aca="false">SUM(D38:D41)</f>
        <v>0</v>
      </c>
      <c r="E42" s="26" t="n">
        <f aca="false">SUM(E38:E41)</f>
        <v>0</v>
      </c>
      <c r="F42" s="26" t="n">
        <f aca="false">SUM(F38:F41)</f>
        <v>0</v>
      </c>
      <c r="G42" s="26" t="n">
        <f aca="false">SUM(G38:G41)</f>
        <v>0</v>
      </c>
      <c r="H42" s="26" t="n">
        <f aca="false">SUM(H38:H41)</f>
        <v>0</v>
      </c>
      <c r="I42" s="26" t="n">
        <f aca="false">SUM(I38:I41)</f>
        <v>0</v>
      </c>
      <c r="J42" s="26" t="n">
        <f aca="false">SUM(J38:J41)</f>
        <v>0</v>
      </c>
      <c r="K42" s="26" t="n">
        <f aca="false">SUM(K38:K41)</f>
        <v>0</v>
      </c>
      <c r="L42" s="26" t="n">
        <f aca="false">SUM(L38:L41)</f>
        <v>0</v>
      </c>
      <c r="M42" s="26" t="n">
        <f aca="false">SUM(M38:M41)</f>
        <v>0</v>
      </c>
      <c r="N42" s="26" t="n">
        <f aca="false">SUM(N38:N41)</f>
        <v>0</v>
      </c>
      <c r="O42" s="26" t="n">
        <f aca="false">SUM(O38:O41)</f>
        <v>0</v>
      </c>
      <c r="P42" s="27"/>
    </row>
    <row r="43" customFormat="false" ht="6.75" hidden="false" customHeight="true" outlineLevel="0" collapsed="false"/>
    <row r="44" customFormat="false" ht="21" hidden="false" customHeight="true" outlineLevel="0" collapsed="false">
      <c r="B44" s="28" t="s">
        <v>76</v>
      </c>
      <c r="C44" s="29" t="s">
        <v>28</v>
      </c>
      <c r="D44" s="29" t="s">
        <v>29</v>
      </c>
      <c r="E44" s="29" t="s">
        <v>30</v>
      </c>
      <c r="F44" s="29" t="s">
        <v>31</v>
      </c>
      <c r="G44" s="29" t="s">
        <v>32</v>
      </c>
      <c r="H44" s="29" t="s">
        <v>33</v>
      </c>
      <c r="I44" s="29" t="s">
        <v>34</v>
      </c>
      <c r="J44" s="29" t="s">
        <v>35</v>
      </c>
      <c r="K44" s="29" t="s">
        <v>36</v>
      </c>
      <c r="L44" s="29" t="s">
        <v>37</v>
      </c>
      <c r="M44" s="29" t="s">
        <v>38</v>
      </c>
      <c r="N44" s="29" t="s">
        <v>39</v>
      </c>
      <c r="O44" s="29" t="s">
        <v>40</v>
      </c>
      <c r="P44" s="30"/>
    </row>
    <row r="45" customFormat="false" ht="18" hidden="false" customHeight="true" outlineLevel="0" collapsed="false">
      <c r="B45" s="21" t="s">
        <v>77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3" t="n">
        <f aca="false">SUM(C45:N45)</f>
        <v>0</v>
      </c>
      <c r="P45" s="24"/>
    </row>
    <row r="46" customFormat="false" ht="18" hidden="false" customHeight="true" outlineLevel="0" collapsed="false">
      <c r="B46" s="21" t="s">
        <v>78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3" t="n">
        <f aca="false">SUM(C46:N46)</f>
        <v>0</v>
      </c>
      <c r="P46" s="24"/>
    </row>
    <row r="47" customFormat="false" ht="18" hidden="false" customHeight="true" outlineLevel="0" collapsed="false">
      <c r="B47" s="21" t="s">
        <v>79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3" t="n">
        <f aca="false">SUM(C47:N47)</f>
        <v>0</v>
      </c>
      <c r="P47" s="24"/>
    </row>
    <row r="48" customFormat="false" ht="18" hidden="false" customHeight="true" outlineLevel="0" collapsed="false">
      <c r="B48" s="21" t="s">
        <v>80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3" t="n">
        <f aca="false">SUM(C48:N48)</f>
        <v>0</v>
      </c>
      <c r="P48" s="24"/>
    </row>
    <row r="49" customFormat="false" ht="18" hidden="false" customHeight="true" outlineLevel="0" collapsed="false">
      <c r="B49" s="21" t="s">
        <v>81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3" t="n">
        <f aca="false">SUM(C49:N49)</f>
        <v>0</v>
      </c>
      <c r="P49" s="24"/>
    </row>
    <row r="50" customFormat="false" ht="18" hidden="false" customHeight="true" outlineLevel="0" collapsed="false">
      <c r="B50" s="21" t="s">
        <v>82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3" t="n">
        <f aca="false">SUM(C50:N50)</f>
        <v>0</v>
      </c>
      <c r="P50" s="24"/>
    </row>
    <row r="51" customFormat="false" ht="18" hidden="false" customHeight="true" outlineLevel="0" collapsed="false">
      <c r="B51" s="21" t="s">
        <v>83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3" t="n">
        <f aca="false">SUM(C51:N51)</f>
        <v>0</v>
      </c>
      <c r="P51" s="24"/>
    </row>
    <row r="52" customFormat="false" ht="19.5" hidden="false" customHeight="true" outlineLevel="0" collapsed="false">
      <c r="B52" s="25" t="s">
        <v>84</v>
      </c>
      <c r="C52" s="26" t="n">
        <f aca="false">SUM(C45:C51)</f>
        <v>0</v>
      </c>
      <c r="D52" s="26" t="n">
        <f aca="false">SUM(D45:D51)</f>
        <v>0</v>
      </c>
      <c r="E52" s="26" t="n">
        <f aca="false">SUM(E45:E51)</f>
        <v>0</v>
      </c>
      <c r="F52" s="26" t="n">
        <f aca="false">SUM(F45:F51)</f>
        <v>0</v>
      </c>
      <c r="G52" s="26" t="n">
        <f aca="false">SUM(G45:G51)</f>
        <v>0</v>
      </c>
      <c r="H52" s="26" t="n">
        <f aca="false">SUM(H45:H51)</f>
        <v>0</v>
      </c>
      <c r="I52" s="26" t="n">
        <f aca="false">SUM(I45:I51)</f>
        <v>0</v>
      </c>
      <c r="J52" s="26" t="n">
        <f aca="false">SUM(J45:J51)</f>
        <v>0</v>
      </c>
      <c r="K52" s="26" t="n">
        <f aca="false">SUM(K45:K51)</f>
        <v>0</v>
      </c>
      <c r="L52" s="26" t="n">
        <f aca="false">SUM(L45:L51)</f>
        <v>0</v>
      </c>
      <c r="M52" s="26" t="n">
        <f aca="false">SUM(M45:M51)</f>
        <v>0</v>
      </c>
      <c r="N52" s="26" t="n">
        <f aca="false">SUM(N45:N51)</f>
        <v>0</v>
      </c>
      <c r="O52" s="26" t="n">
        <f aca="false">SUM(O45:O51)</f>
        <v>0</v>
      </c>
      <c r="P52" s="27"/>
    </row>
    <row r="53" customFormat="false" ht="6.75" hidden="false" customHeight="true" outlineLevel="0" collapsed="false"/>
    <row r="54" customFormat="false" ht="21" hidden="false" customHeight="true" outlineLevel="0" collapsed="false">
      <c r="B54" s="28" t="s">
        <v>85</v>
      </c>
      <c r="C54" s="29" t="s">
        <v>28</v>
      </c>
      <c r="D54" s="29" t="s">
        <v>29</v>
      </c>
      <c r="E54" s="29" t="s">
        <v>30</v>
      </c>
      <c r="F54" s="29" t="s">
        <v>31</v>
      </c>
      <c r="G54" s="29" t="s">
        <v>32</v>
      </c>
      <c r="H54" s="29" t="s">
        <v>33</v>
      </c>
      <c r="I54" s="29" t="s">
        <v>34</v>
      </c>
      <c r="J54" s="29" t="s">
        <v>35</v>
      </c>
      <c r="K54" s="29" t="s">
        <v>36</v>
      </c>
      <c r="L54" s="29" t="s">
        <v>37</v>
      </c>
      <c r="M54" s="29" t="s">
        <v>38</v>
      </c>
      <c r="N54" s="29" t="s">
        <v>39</v>
      </c>
      <c r="O54" s="29" t="s">
        <v>40</v>
      </c>
      <c r="P54" s="30"/>
    </row>
    <row r="55" customFormat="false" ht="18" hidden="false" customHeight="true" outlineLevel="0" collapsed="false">
      <c r="B55" s="21" t="s">
        <v>86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3" t="n">
        <f aca="false">SUM(C55:N55)</f>
        <v>0</v>
      </c>
      <c r="P55" s="24"/>
    </row>
    <row r="56" customFormat="false" ht="18" hidden="false" customHeight="true" outlineLevel="0" collapsed="false">
      <c r="B56" s="21" t="s">
        <v>87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3" t="n">
        <f aca="false">SUM(C56:N56)</f>
        <v>0</v>
      </c>
      <c r="P56" s="24"/>
    </row>
    <row r="57" customFormat="false" ht="18" hidden="false" customHeight="true" outlineLevel="0" collapsed="false">
      <c r="B57" s="21" t="s">
        <v>88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3" t="n">
        <f aca="false">SUM(C57:N57)</f>
        <v>0</v>
      </c>
      <c r="P57" s="24"/>
    </row>
    <row r="58" customFormat="false" ht="18" hidden="false" customHeight="true" outlineLevel="0" collapsed="false">
      <c r="B58" s="21" t="s">
        <v>89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3" t="n">
        <f aca="false">SUM(C58:N58)</f>
        <v>0</v>
      </c>
      <c r="P58" s="24"/>
    </row>
    <row r="59" customFormat="false" ht="18" hidden="false" customHeight="true" outlineLevel="0" collapsed="false">
      <c r="B59" s="21" t="s">
        <v>90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3" t="n">
        <f aca="false">SUM(C59:N59)</f>
        <v>0</v>
      </c>
      <c r="P59" s="24"/>
    </row>
    <row r="60" customFormat="false" ht="18" hidden="false" customHeight="true" outlineLevel="0" collapsed="false">
      <c r="B60" s="21" t="s">
        <v>91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3" t="n">
        <f aca="false">SUM(C60:N60)</f>
        <v>0</v>
      </c>
      <c r="P60" s="24"/>
    </row>
    <row r="61" customFormat="false" ht="19.5" hidden="false" customHeight="true" outlineLevel="0" collapsed="false">
      <c r="B61" s="25" t="s">
        <v>92</v>
      </c>
      <c r="C61" s="26" t="n">
        <f aca="false">SUM(C55:C60)</f>
        <v>0</v>
      </c>
      <c r="D61" s="26" t="n">
        <f aca="false">SUM(D55:D60)</f>
        <v>0</v>
      </c>
      <c r="E61" s="26" t="n">
        <f aca="false">SUM(E55:E60)</f>
        <v>0</v>
      </c>
      <c r="F61" s="26" t="n">
        <f aca="false">SUM(F55:F60)</f>
        <v>0</v>
      </c>
      <c r="G61" s="26" t="n">
        <f aca="false">SUM(G55:G60)</f>
        <v>0</v>
      </c>
      <c r="H61" s="26" t="n">
        <f aca="false">SUM(H55:H60)</f>
        <v>0</v>
      </c>
      <c r="I61" s="26" t="n">
        <f aca="false">SUM(I55:I60)</f>
        <v>0</v>
      </c>
      <c r="J61" s="26" t="n">
        <f aca="false">SUM(J55:J60)</f>
        <v>0</v>
      </c>
      <c r="K61" s="26" t="n">
        <f aca="false">SUM(K55:K60)</f>
        <v>0</v>
      </c>
      <c r="L61" s="26" t="n">
        <f aca="false">SUM(L55:L60)</f>
        <v>0</v>
      </c>
      <c r="M61" s="26" t="n">
        <f aca="false">SUM(M55:M60)</f>
        <v>0</v>
      </c>
      <c r="N61" s="26" t="n">
        <f aca="false">SUM(N55:N60)</f>
        <v>0</v>
      </c>
      <c r="O61" s="26" t="n">
        <f aca="false">SUM(O55:O60)</f>
        <v>0</v>
      </c>
      <c r="P61" s="27"/>
    </row>
    <row r="62" customFormat="false" ht="6.75" hidden="false" customHeight="true" outlineLevel="0" collapsed="false"/>
    <row r="63" customFormat="false" ht="21" hidden="false" customHeight="true" outlineLevel="0" collapsed="false">
      <c r="B63" s="28" t="s">
        <v>93</v>
      </c>
      <c r="C63" s="29" t="s">
        <v>28</v>
      </c>
      <c r="D63" s="29" t="s">
        <v>29</v>
      </c>
      <c r="E63" s="29" t="s">
        <v>30</v>
      </c>
      <c r="F63" s="29" t="s">
        <v>31</v>
      </c>
      <c r="G63" s="29" t="s">
        <v>32</v>
      </c>
      <c r="H63" s="29" t="s">
        <v>33</v>
      </c>
      <c r="I63" s="29" t="s">
        <v>34</v>
      </c>
      <c r="J63" s="29" t="s">
        <v>35</v>
      </c>
      <c r="K63" s="29" t="s">
        <v>36</v>
      </c>
      <c r="L63" s="29" t="s">
        <v>37</v>
      </c>
      <c r="M63" s="29" t="s">
        <v>38</v>
      </c>
      <c r="N63" s="29" t="s">
        <v>39</v>
      </c>
      <c r="O63" s="29" t="s">
        <v>40</v>
      </c>
      <c r="P63" s="30"/>
    </row>
    <row r="64" customFormat="false" ht="18" hidden="false" customHeight="true" outlineLevel="0" collapsed="false">
      <c r="B64" s="21" t="s">
        <v>94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3" t="n">
        <f aca="false">SUM(C64:N64)</f>
        <v>0</v>
      </c>
      <c r="P64" s="24"/>
    </row>
    <row r="65" customFormat="false" ht="18" hidden="false" customHeight="true" outlineLevel="0" collapsed="false">
      <c r="B65" s="21" t="s">
        <v>95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3" t="n">
        <f aca="false">SUM(C65:N65)</f>
        <v>0</v>
      </c>
      <c r="P65" s="24"/>
    </row>
    <row r="66" customFormat="false" ht="18" hidden="false" customHeight="true" outlineLevel="0" collapsed="false">
      <c r="B66" s="21" t="s">
        <v>96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3" t="n">
        <f aca="false">SUM(C66:N66)</f>
        <v>0</v>
      </c>
      <c r="P66" s="24"/>
    </row>
    <row r="67" customFormat="false" ht="18" hidden="false" customHeight="true" outlineLevel="0" collapsed="false">
      <c r="B67" s="21" t="s">
        <v>97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3" t="n">
        <f aca="false">SUM(C67:N67)</f>
        <v>0</v>
      </c>
      <c r="P67" s="24"/>
    </row>
    <row r="68" customFormat="false" ht="19.5" hidden="false" customHeight="true" outlineLevel="0" collapsed="false">
      <c r="B68" s="25" t="s">
        <v>98</v>
      </c>
      <c r="C68" s="26" t="n">
        <f aca="false">SUM(C64:C67)</f>
        <v>0</v>
      </c>
      <c r="D68" s="26" t="n">
        <f aca="false">SUM(D64:D67)</f>
        <v>0</v>
      </c>
      <c r="E68" s="26" t="n">
        <f aca="false">SUM(E64:E67)</f>
        <v>0</v>
      </c>
      <c r="F68" s="26" t="n">
        <f aca="false">SUM(F64:F67)</f>
        <v>0</v>
      </c>
      <c r="G68" s="26" t="n">
        <f aca="false">SUM(G64:G67)</f>
        <v>0</v>
      </c>
      <c r="H68" s="26" t="n">
        <f aca="false">SUM(H64:H67)</f>
        <v>0</v>
      </c>
      <c r="I68" s="26" t="n">
        <f aca="false">SUM(I64:I67)</f>
        <v>0</v>
      </c>
      <c r="J68" s="26" t="n">
        <f aca="false">SUM(J64:J67)</f>
        <v>0</v>
      </c>
      <c r="K68" s="26" t="n">
        <f aca="false">SUM(K64:K67)</f>
        <v>0</v>
      </c>
      <c r="L68" s="26" t="n">
        <f aca="false">SUM(L64:L67)</f>
        <v>0</v>
      </c>
      <c r="M68" s="26" t="n">
        <f aca="false">SUM(M64:M67)</f>
        <v>0</v>
      </c>
      <c r="N68" s="26" t="n">
        <f aca="false">SUM(N64:N67)</f>
        <v>0</v>
      </c>
      <c r="O68" s="26" t="n">
        <f aca="false">SUM(O64:O67)</f>
        <v>0</v>
      </c>
      <c r="P68" s="27"/>
    </row>
    <row r="69" customFormat="false" ht="6.75" hidden="false" customHeight="true" outlineLevel="0" collapsed="false"/>
    <row r="70" customFormat="false" ht="21" hidden="false" customHeight="true" outlineLevel="0" collapsed="false">
      <c r="B70" s="28" t="s">
        <v>99</v>
      </c>
      <c r="C70" s="29" t="s">
        <v>28</v>
      </c>
      <c r="D70" s="29" t="s">
        <v>29</v>
      </c>
      <c r="E70" s="29" t="s">
        <v>30</v>
      </c>
      <c r="F70" s="29" t="s">
        <v>31</v>
      </c>
      <c r="G70" s="29" t="s">
        <v>32</v>
      </c>
      <c r="H70" s="29" t="s">
        <v>33</v>
      </c>
      <c r="I70" s="29" t="s">
        <v>34</v>
      </c>
      <c r="J70" s="29" t="s">
        <v>35</v>
      </c>
      <c r="K70" s="29" t="s">
        <v>36</v>
      </c>
      <c r="L70" s="29" t="s">
        <v>37</v>
      </c>
      <c r="M70" s="29" t="s">
        <v>38</v>
      </c>
      <c r="N70" s="29" t="s">
        <v>39</v>
      </c>
      <c r="O70" s="29" t="s">
        <v>40</v>
      </c>
      <c r="P70" s="30"/>
    </row>
    <row r="71" customFormat="false" ht="18" hidden="false" customHeight="true" outlineLevel="0" collapsed="false">
      <c r="B71" s="21" t="s">
        <v>100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3" t="n">
        <f aca="false">SUM(C71:N71)</f>
        <v>0</v>
      </c>
      <c r="P71" s="24"/>
    </row>
    <row r="72" customFormat="false" ht="18" hidden="false" customHeight="true" outlineLevel="0" collapsed="false">
      <c r="B72" s="21" t="s">
        <v>101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3" t="n">
        <f aca="false">SUM(C72:N72)</f>
        <v>0</v>
      </c>
      <c r="P72" s="24" t="s">
        <v>102</v>
      </c>
    </row>
    <row r="73" customFormat="false" ht="18" hidden="false" customHeight="true" outlineLevel="0" collapsed="false">
      <c r="B73" s="21" t="s">
        <v>103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3" t="n">
        <f aca="false">SUM(C73:N73)</f>
        <v>0</v>
      </c>
      <c r="P73" s="24"/>
    </row>
    <row r="74" customFormat="false" ht="18" hidden="false" customHeight="true" outlineLevel="0" collapsed="false">
      <c r="B74" s="21" t="s">
        <v>104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3" t="n">
        <f aca="false">SUM(C74:N74)</f>
        <v>0</v>
      </c>
      <c r="P74" s="24"/>
    </row>
    <row r="75" customFormat="false" ht="18" hidden="false" customHeight="true" outlineLevel="0" collapsed="false">
      <c r="B75" s="21" t="s">
        <v>105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3" t="n">
        <f aca="false">SUM(C75:N75)</f>
        <v>0</v>
      </c>
      <c r="P75" s="24"/>
    </row>
    <row r="76" customFormat="false" ht="18" hidden="false" customHeight="true" outlineLevel="0" collapsed="false">
      <c r="B76" s="21" t="s">
        <v>106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3" t="n">
        <f aca="false">SUM(C76:N76)</f>
        <v>0</v>
      </c>
      <c r="P76" s="24"/>
    </row>
    <row r="77" customFormat="false" ht="19.5" hidden="false" customHeight="true" outlineLevel="0" collapsed="false">
      <c r="B77" s="25" t="s">
        <v>107</v>
      </c>
      <c r="C77" s="26" t="n">
        <f aca="false">SUM(C71:C76)</f>
        <v>0</v>
      </c>
      <c r="D77" s="26" t="n">
        <f aca="false">SUM(D71:D76)</f>
        <v>0</v>
      </c>
      <c r="E77" s="26" t="n">
        <f aca="false">SUM(E71:E76)</f>
        <v>0</v>
      </c>
      <c r="F77" s="26" t="n">
        <f aca="false">SUM(F71:F76)</f>
        <v>0</v>
      </c>
      <c r="G77" s="26" t="n">
        <f aca="false">SUM(G71:G76)</f>
        <v>0</v>
      </c>
      <c r="H77" s="26" t="n">
        <f aca="false">SUM(H71:H76)</f>
        <v>0</v>
      </c>
      <c r="I77" s="26" t="n">
        <f aca="false">SUM(I71:I76)</f>
        <v>0</v>
      </c>
      <c r="J77" s="26" t="n">
        <f aca="false">SUM(J71:J76)</f>
        <v>0</v>
      </c>
      <c r="K77" s="26" t="n">
        <f aca="false">SUM(K71:K76)</f>
        <v>0</v>
      </c>
      <c r="L77" s="26" t="n">
        <f aca="false">SUM(L71:L76)</f>
        <v>0</v>
      </c>
      <c r="M77" s="26" t="n">
        <f aca="false">SUM(M71:M76)</f>
        <v>0</v>
      </c>
      <c r="N77" s="26" t="n">
        <f aca="false">SUM(N71:N76)</f>
        <v>0</v>
      </c>
      <c r="O77" s="26" t="n">
        <f aca="false">SUM(O71:O76)</f>
        <v>0</v>
      </c>
      <c r="P77" s="27"/>
    </row>
    <row r="78" customFormat="false" ht="6.75" hidden="false" customHeight="true" outlineLevel="0" collapsed="false"/>
    <row r="79" customFormat="false" ht="21" hidden="false" customHeight="true" outlineLevel="0" collapsed="false">
      <c r="B79" s="28" t="s">
        <v>108</v>
      </c>
      <c r="C79" s="29" t="s">
        <v>28</v>
      </c>
      <c r="D79" s="29" t="s">
        <v>29</v>
      </c>
      <c r="E79" s="29" t="s">
        <v>30</v>
      </c>
      <c r="F79" s="29" t="s">
        <v>31</v>
      </c>
      <c r="G79" s="29" t="s">
        <v>32</v>
      </c>
      <c r="H79" s="29" t="s">
        <v>33</v>
      </c>
      <c r="I79" s="29" t="s">
        <v>34</v>
      </c>
      <c r="J79" s="29" t="s">
        <v>35</v>
      </c>
      <c r="K79" s="29" t="s">
        <v>36</v>
      </c>
      <c r="L79" s="29" t="s">
        <v>37</v>
      </c>
      <c r="M79" s="29" t="s">
        <v>38</v>
      </c>
      <c r="N79" s="29" t="s">
        <v>39</v>
      </c>
      <c r="O79" s="29" t="s">
        <v>40</v>
      </c>
      <c r="P79" s="30"/>
    </row>
    <row r="80" customFormat="false" ht="18" hidden="false" customHeight="true" outlineLevel="0" collapsed="false">
      <c r="B80" s="21" t="s">
        <v>109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3" t="n">
        <f aca="false">SUM(C80:N80)</f>
        <v>0</v>
      </c>
      <c r="P80" s="24"/>
    </row>
    <row r="81" customFormat="false" ht="18" hidden="false" customHeight="true" outlineLevel="0" collapsed="false">
      <c r="B81" s="21" t="s">
        <v>110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3" t="n">
        <f aca="false">SUM(C81:N81)</f>
        <v>0</v>
      </c>
      <c r="P81" s="24"/>
    </row>
    <row r="82" customFormat="false" ht="18" hidden="false" customHeight="true" outlineLevel="0" collapsed="false">
      <c r="B82" s="21" t="s">
        <v>111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3" t="n">
        <f aca="false">SUM(C82:N82)</f>
        <v>0</v>
      </c>
      <c r="P82" s="24"/>
    </row>
    <row r="83" customFormat="false" ht="18" hidden="false" customHeight="true" outlineLevel="0" collapsed="false">
      <c r="B83" s="21" t="s">
        <v>112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3" t="n">
        <f aca="false">SUM(C83:N83)</f>
        <v>0</v>
      </c>
      <c r="P83" s="24"/>
    </row>
    <row r="84" customFormat="false" ht="18" hidden="false" customHeight="true" outlineLevel="0" collapsed="false">
      <c r="B84" s="21" t="s">
        <v>113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3" t="n">
        <f aca="false">SUM(C84:N84)</f>
        <v>0</v>
      </c>
      <c r="P84" s="24"/>
    </row>
    <row r="85" customFormat="false" ht="19.5" hidden="false" customHeight="true" outlineLevel="0" collapsed="false">
      <c r="B85" s="25" t="s">
        <v>114</v>
      </c>
      <c r="C85" s="26" t="n">
        <f aca="false">SUM(C80:C84)</f>
        <v>0</v>
      </c>
      <c r="D85" s="26" t="n">
        <f aca="false">SUM(D80:D84)</f>
        <v>0</v>
      </c>
      <c r="E85" s="26" t="n">
        <f aca="false">SUM(E80:E84)</f>
        <v>0</v>
      </c>
      <c r="F85" s="26" t="n">
        <f aca="false">SUM(F80:F84)</f>
        <v>0</v>
      </c>
      <c r="G85" s="26" t="n">
        <f aca="false">SUM(G80:G84)</f>
        <v>0</v>
      </c>
      <c r="H85" s="26" t="n">
        <f aca="false">SUM(H80:H84)</f>
        <v>0</v>
      </c>
      <c r="I85" s="26" t="n">
        <f aca="false">SUM(I80:I84)</f>
        <v>0</v>
      </c>
      <c r="J85" s="26" t="n">
        <f aca="false">SUM(J80:J84)</f>
        <v>0</v>
      </c>
      <c r="K85" s="26" t="n">
        <f aca="false">SUM(K80:K84)</f>
        <v>0</v>
      </c>
      <c r="L85" s="26" t="n">
        <f aca="false">SUM(L80:L84)</f>
        <v>0</v>
      </c>
      <c r="M85" s="26" t="n">
        <f aca="false">SUM(M80:M84)</f>
        <v>0</v>
      </c>
      <c r="N85" s="26" t="n">
        <f aca="false">SUM(N80:N84)</f>
        <v>0</v>
      </c>
      <c r="O85" s="26" t="n">
        <f aca="false">SUM(O80:O84)</f>
        <v>0</v>
      </c>
      <c r="P85" s="27"/>
    </row>
    <row r="86" customFormat="false" ht="6.75" hidden="false" customHeight="true" outlineLevel="0" collapsed="false"/>
    <row r="87" customFormat="false" ht="21" hidden="false" customHeight="true" outlineLevel="0" collapsed="false">
      <c r="B87" s="28" t="s">
        <v>115</v>
      </c>
      <c r="C87" s="29" t="s">
        <v>28</v>
      </c>
      <c r="D87" s="29" t="s">
        <v>29</v>
      </c>
      <c r="E87" s="29" t="s">
        <v>30</v>
      </c>
      <c r="F87" s="29" t="s">
        <v>31</v>
      </c>
      <c r="G87" s="29" t="s">
        <v>32</v>
      </c>
      <c r="H87" s="29" t="s">
        <v>33</v>
      </c>
      <c r="I87" s="29" t="s">
        <v>34</v>
      </c>
      <c r="J87" s="29" t="s">
        <v>35</v>
      </c>
      <c r="K87" s="29" t="s">
        <v>36</v>
      </c>
      <c r="L87" s="29" t="s">
        <v>37</v>
      </c>
      <c r="M87" s="29" t="s">
        <v>38</v>
      </c>
      <c r="N87" s="29" t="s">
        <v>39</v>
      </c>
      <c r="O87" s="29" t="s">
        <v>40</v>
      </c>
      <c r="P87" s="30"/>
    </row>
    <row r="88" customFormat="false" ht="18" hidden="false" customHeight="true" outlineLevel="0" collapsed="false">
      <c r="B88" s="21" t="s">
        <v>116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3" t="n">
        <f aca="false">SUM(C88:N88)</f>
        <v>0</v>
      </c>
      <c r="P88" s="24" t="s">
        <v>117</v>
      </c>
    </row>
    <row r="89" customFormat="false" ht="18" hidden="false" customHeight="true" outlineLevel="0" collapsed="false">
      <c r="B89" s="21" t="s">
        <v>118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3" t="n">
        <f aca="false">SUM(C89:N89)</f>
        <v>0</v>
      </c>
      <c r="P89" s="24" t="s">
        <v>117</v>
      </c>
    </row>
    <row r="90" customFormat="false" ht="18" hidden="false" customHeight="true" outlineLevel="0" collapsed="false">
      <c r="B90" s="21" t="s">
        <v>119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3" t="n">
        <f aca="false">SUM(C90:N90)</f>
        <v>0</v>
      </c>
      <c r="P90" s="24" t="s">
        <v>117</v>
      </c>
    </row>
    <row r="91" customFormat="false" ht="18" hidden="false" customHeight="true" outlineLevel="0" collapsed="false">
      <c r="B91" s="21" t="s">
        <v>120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3" t="n">
        <f aca="false">SUM(C91:N91)</f>
        <v>0</v>
      </c>
      <c r="P91" s="24" t="s">
        <v>121</v>
      </c>
    </row>
    <row r="92" customFormat="false" ht="18" hidden="false" customHeight="true" outlineLevel="0" collapsed="false">
      <c r="B92" s="21" t="s">
        <v>122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3" t="n">
        <f aca="false">SUM(C92:N92)</f>
        <v>0</v>
      </c>
      <c r="P92" s="24"/>
    </row>
    <row r="93" customFormat="false" ht="18" hidden="false" customHeight="true" outlineLevel="0" collapsed="false">
      <c r="B93" s="21" t="s">
        <v>123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3" t="n">
        <f aca="false">SUM(C93:N93)</f>
        <v>0</v>
      </c>
      <c r="P93" s="24"/>
    </row>
    <row r="94" customFormat="false" ht="18" hidden="false" customHeight="true" outlineLevel="0" collapsed="false">
      <c r="B94" s="21" t="s">
        <v>124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3" t="n">
        <f aca="false">SUM(C94:N94)</f>
        <v>0</v>
      </c>
      <c r="P94" s="24"/>
    </row>
    <row r="95" customFormat="false" ht="18" hidden="false" customHeight="true" outlineLevel="0" collapsed="false">
      <c r="B95" s="21" t="s">
        <v>125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3" t="n">
        <f aca="false">SUM(C95:N95)</f>
        <v>0</v>
      </c>
      <c r="P95" s="24" t="s">
        <v>117</v>
      </c>
    </row>
    <row r="96" customFormat="false" ht="18" hidden="false" customHeight="true" outlineLevel="0" collapsed="false">
      <c r="B96" s="21" t="s">
        <v>126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3" t="n">
        <f aca="false">SUM(C96:N96)</f>
        <v>0</v>
      </c>
      <c r="P96" s="24"/>
    </row>
    <row r="97" customFormat="false" ht="18" hidden="false" customHeight="true" outlineLevel="0" collapsed="false">
      <c r="B97" s="21" t="s">
        <v>127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3" t="n">
        <f aca="false">SUM(C97:N97)</f>
        <v>0</v>
      </c>
      <c r="P97" s="24" t="s">
        <v>128</v>
      </c>
    </row>
    <row r="98" customFormat="false" ht="19.5" hidden="false" customHeight="true" outlineLevel="0" collapsed="false">
      <c r="B98" s="25" t="s">
        <v>129</v>
      </c>
      <c r="C98" s="26" t="n">
        <f aca="false">SUM(C88:C97)</f>
        <v>0</v>
      </c>
      <c r="D98" s="26" t="n">
        <f aca="false">SUM(D88:D97)</f>
        <v>0</v>
      </c>
      <c r="E98" s="26" t="n">
        <f aca="false">SUM(E88:E97)</f>
        <v>0</v>
      </c>
      <c r="F98" s="26" t="n">
        <f aca="false">SUM(F88:F97)</f>
        <v>0</v>
      </c>
      <c r="G98" s="26" t="n">
        <f aca="false">SUM(G88:G97)</f>
        <v>0</v>
      </c>
      <c r="H98" s="26" t="n">
        <f aca="false">SUM(H88:H97)</f>
        <v>0</v>
      </c>
      <c r="I98" s="26" t="n">
        <f aca="false">SUM(I88:I97)</f>
        <v>0</v>
      </c>
      <c r="J98" s="26" t="n">
        <f aca="false">SUM(J88:J97)</f>
        <v>0</v>
      </c>
      <c r="K98" s="26" t="n">
        <f aca="false">SUM(K88:K97)</f>
        <v>0</v>
      </c>
      <c r="L98" s="26" t="n">
        <f aca="false">SUM(L88:L97)</f>
        <v>0</v>
      </c>
      <c r="M98" s="26" t="n">
        <f aca="false">SUM(M88:M97)</f>
        <v>0</v>
      </c>
      <c r="N98" s="26" t="n">
        <f aca="false">SUM(N88:N97)</f>
        <v>0</v>
      </c>
      <c r="O98" s="26" t="n">
        <f aca="false">SUM(O88:O97)</f>
        <v>0</v>
      </c>
      <c r="P98" s="27"/>
    </row>
    <row r="99" customFormat="false" ht="6.75" hidden="false" customHeight="true" outlineLevel="0" collapsed="false"/>
    <row r="100" customFormat="false" ht="21" hidden="false" customHeight="true" outlineLevel="0" collapsed="false">
      <c r="B100" s="28" t="s">
        <v>130</v>
      </c>
      <c r="C100" s="29" t="s">
        <v>28</v>
      </c>
      <c r="D100" s="29" t="s">
        <v>29</v>
      </c>
      <c r="E100" s="29" t="s">
        <v>30</v>
      </c>
      <c r="F100" s="29" t="s">
        <v>31</v>
      </c>
      <c r="G100" s="29" t="s">
        <v>32</v>
      </c>
      <c r="H100" s="29" t="s">
        <v>33</v>
      </c>
      <c r="I100" s="29" t="s">
        <v>34</v>
      </c>
      <c r="J100" s="29" t="s">
        <v>35</v>
      </c>
      <c r="K100" s="29" t="s">
        <v>36</v>
      </c>
      <c r="L100" s="29" t="s">
        <v>37</v>
      </c>
      <c r="M100" s="29" t="s">
        <v>38</v>
      </c>
      <c r="N100" s="29" t="s">
        <v>39</v>
      </c>
      <c r="O100" s="29" t="s">
        <v>40</v>
      </c>
      <c r="P100" s="30"/>
    </row>
    <row r="101" customFormat="false" ht="18" hidden="false" customHeight="true" outlineLevel="0" collapsed="false">
      <c r="B101" s="21" t="s">
        <v>131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3" t="n">
        <f aca="false">SUM(C101:N101)</f>
        <v>0</v>
      </c>
      <c r="P101" s="24"/>
    </row>
    <row r="102" customFormat="false" ht="18" hidden="false" customHeight="true" outlineLevel="0" collapsed="false">
      <c r="B102" s="21" t="s">
        <v>132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3" t="n">
        <f aca="false">SUM(C102:N102)</f>
        <v>0</v>
      </c>
      <c r="P102" s="24"/>
    </row>
    <row r="103" customFormat="false" ht="18" hidden="false" customHeight="true" outlineLevel="0" collapsed="false">
      <c r="B103" s="21" t="s">
        <v>133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3" t="n">
        <f aca="false">SUM(C103:N103)</f>
        <v>0</v>
      </c>
      <c r="P103" s="24"/>
    </row>
    <row r="104" customFormat="false" ht="18" hidden="false" customHeight="true" outlineLevel="0" collapsed="false">
      <c r="B104" s="21" t="s">
        <v>134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3" t="n">
        <f aca="false">SUM(C104:N104)</f>
        <v>0</v>
      </c>
      <c r="P104" s="24"/>
    </row>
    <row r="105" customFormat="false" ht="18" hidden="false" customHeight="true" outlineLevel="0" collapsed="false">
      <c r="B105" s="21" t="s">
        <v>135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3" t="n">
        <f aca="false">SUM(C105:N105)</f>
        <v>0</v>
      </c>
      <c r="P105" s="24"/>
    </row>
    <row r="106" customFormat="false" ht="18" hidden="false" customHeight="true" outlineLevel="0" collapsed="false">
      <c r="B106" s="21" t="s">
        <v>136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3" t="n">
        <f aca="false">SUM(C106:N106)</f>
        <v>0</v>
      </c>
      <c r="P106" s="24"/>
    </row>
    <row r="107" customFormat="false" ht="19.5" hidden="false" customHeight="true" outlineLevel="0" collapsed="false">
      <c r="B107" s="25" t="s">
        <v>137</v>
      </c>
      <c r="C107" s="26" t="n">
        <f aca="false">SUM(C101:C106)</f>
        <v>0</v>
      </c>
      <c r="D107" s="26" t="n">
        <f aca="false">SUM(D101:D106)</f>
        <v>0</v>
      </c>
      <c r="E107" s="26" t="n">
        <f aca="false">SUM(E101:E106)</f>
        <v>0</v>
      </c>
      <c r="F107" s="26" t="n">
        <f aca="false">SUM(F101:F106)</f>
        <v>0</v>
      </c>
      <c r="G107" s="26" t="n">
        <f aca="false">SUM(G101:G106)</f>
        <v>0</v>
      </c>
      <c r="H107" s="26" t="n">
        <f aca="false">SUM(H101:H106)</f>
        <v>0</v>
      </c>
      <c r="I107" s="26" t="n">
        <f aca="false">SUM(I101:I106)</f>
        <v>0</v>
      </c>
      <c r="J107" s="26" t="n">
        <f aca="false">SUM(J101:J106)</f>
        <v>0</v>
      </c>
      <c r="K107" s="26" t="n">
        <f aca="false">SUM(K101:K106)</f>
        <v>0</v>
      </c>
      <c r="L107" s="26" t="n">
        <f aca="false">SUM(L101:L106)</f>
        <v>0</v>
      </c>
      <c r="M107" s="26" t="n">
        <f aca="false">SUM(M101:M106)</f>
        <v>0</v>
      </c>
      <c r="N107" s="26" t="n">
        <f aca="false">SUM(N101:N106)</f>
        <v>0</v>
      </c>
      <c r="O107" s="26" t="n">
        <f aca="false">SUM(O101:O106)</f>
        <v>0</v>
      </c>
      <c r="P107" s="27"/>
    </row>
    <row r="108" customFormat="false" ht="6.75" hidden="false" customHeight="true" outlineLevel="0" collapsed="false"/>
    <row r="109" customFormat="false" ht="24" hidden="false" customHeight="true" outlineLevel="0" collapsed="false">
      <c r="B109" s="31" t="s">
        <v>138</v>
      </c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</row>
    <row r="110" customFormat="false" ht="21" hidden="false" customHeight="true" outlineLevel="0" collapsed="false">
      <c r="B110" s="32" t="s">
        <v>139</v>
      </c>
      <c r="C110" s="33" t="n">
        <f aca="false">C17+C26+C35+C42+C52+C61+C68+C77+C85+C98+C107</f>
        <v>0</v>
      </c>
      <c r="D110" s="33" t="n">
        <f aca="false">D17+D26+D35+D42+D52+D61+D68+D77+D85+D98+D107</f>
        <v>0</v>
      </c>
      <c r="E110" s="33" t="n">
        <f aca="false">E17+E26+E35+E42+E52+E61+E68+E77+E85+E98+E107</f>
        <v>0</v>
      </c>
      <c r="F110" s="33" t="n">
        <f aca="false">F17+F26+F35+F42+F52+F61+F68+F77+F85+F98+F107</f>
        <v>0</v>
      </c>
      <c r="G110" s="33" t="n">
        <f aca="false">G17+G26+G35+G42+G52+G61+G68+G77+G85+G98+G107</f>
        <v>0</v>
      </c>
      <c r="H110" s="33" t="n">
        <f aca="false">H17+H26+H35+H42+H52+H61+H68+H77+H85+H98+H107</f>
        <v>0</v>
      </c>
      <c r="I110" s="33" t="n">
        <f aca="false">I17+I26+I35+I42+I52+I61+I68+I77+I85+I98+I107</f>
        <v>0</v>
      </c>
      <c r="J110" s="33" t="n">
        <f aca="false">J17+J26+J35+J42+J52+J61+J68+J77+J85+J98+J107</f>
        <v>0</v>
      </c>
      <c r="K110" s="33" t="n">
        <f aca="false">K17+K26+K35+K42+K52+K61+K68+K77+K85+K98+K107</f>
        <v>0</v>
      </c>
      <c r="L110" s="33" t="n">
        <f aca="false">L17+L26+L35+L42+L52+L61+L68+L77+L85+L98+L107</f>
        <v>0</v>
      </c>
      <c r="M110" s="33" t="n">
        <f aca="false">M17+M26+M35+M42+M52+M61+M68+M77+M85+M98+M107</f>
        <v>0</v>
      </c>
      <c r="N110" s="33" t="n">
        <f aca="false">N17+N26+N35+N42+N52+N61+N68+N77+N85+N98+N107</f>
        <v>0</v>
      </c>
      <c r="O110" s="33" t="n">
        <f aca="false">SUM(C110:N110)</f>
        <v>0</v>
      </c>
      <c r="P110" s="34" t="s">
        <v>140</v>
      </c>
    </row>
    <row r="111" customFormat="false" ht="21" hidden="false" customHeight="true" outlineLevel="0" collapsed="false">
      <c r="B111" s="25" t="s">
        <v>141</v>
      </c>
      <c r="C111" s="26" t="n">
        <f aca="false">C10-C110</f>
        <v>0</v>
      </c>
      <c r="D111" s="26" t="n">
        <f aca="false">D10-D110</f>
        <v>0</v>
      </c>
      <c r="E111" s="26" t="n">
        <f aca="false">E10-E110</f>
        <v>0</v>
      </c>
      <c r="F111" s="26" t="n">
        <f aca="false">F10-F110</f>
        <v>0</v>
      </c>
      <c r="G111" s="26" t="n">
        <f aca="false">G10-G110</f>
        <v>0</v>
      </c>
      <c r="H111" s="26" t="n">
        <f aca="false">H10-H110</f>
        <v>0</v>
      </c>
      <c r="I111" s="26" t="n">
        <f aca="false">I10-I110</f>
        <v>0</v>
      </c>
      <c r="J111" s="26" t="n">
        <f aca="false">J10-J110</f>
        <v>0</v>
      </c>
      <c r="K111" s="26" t="n">
        <f aca="false">K10-K110</f>
        <v>0</v>
      </c>
      <c r="L111" s="26" t="n">
        <f aca="false">L10-L110</f>
        <v>0</v>
      </c>
      <c r="M111" s="26" t="n">
        <f aca="false">M10-M110</f>
        <v>0</v>
      </c>
      <c r="N111" s="26" t="n">
        <f aca="false">N10-N110</f>
        <v>0</v>
      </c>
      <c r="O111" s="26" t="n">
        <f aca="false">SUM(C111:N111)</f>
        <v>0</v>
      </c>
      <c r="P111" s="35" t="s">
        <v>142</v>
      </c>
    </row>
    <row r="112" customFormat="false" ht="21" hidden="false" customHeight="true" outlineLevel="0" collapsed="false">
      <c r="B112" s="36" t="s">
        <v>143</v>
      </c>
      <c r="C112" s="23" t="n">
        <f aca="false">C88+C89+C90+C91+C95+C96</f>
        <v>0</v>
      </c>
      <c r="D112" s="23" t="n">
        <f aca="false">D88+D89+D90+D91+D95+D96</f>
        <v>0</v>
      </c>
      <c r="E112" s="23" t="n">
        <f aca="false">E88+E89+E90+E91+E95+E96</f>
        <v>0</v>
      </c>
      <c r="F112" s="23" t="n">
        <f aca="false">F88+F89+F90+F91+F95+F96</f>
        <v>0</v>
      </c>
      <c r="G112" s="23" t="n">
        <f aca="false">G88+G89+G90+G91+G95+G96</f>
        <v>0</v>
      </c>
      <c r="H112" s="23" t="n">
        <f aca="false">H88+H89+H90+H91+H95+H96</f>
        <v>0</v>
      </c>
      <c r="I112" s="23" t="n">
        <f aca="false">I88+I89+I90+I91+I95+I96</f>
        <v>0</v>
      </c>
      <c r="J112" s="23" t="n">
        <f aca="false">J88+J89+J90+J91+J95+J96</f>
        <v>0</v>
      </c>
      <c r="K112" s="23" t="n">
        <f aca="false">K88+K89+K90+K91+K95+K96</f>
        <v>0</v>
      </c>
      <c r="L112" s="23" t="n">
        <f aca="false">L88+L89+L90+L91+L95+L96</f>
        <v>0</v>
      </c>
      <c r="M112" s="23" t="n">
        <f aca="false">M88+M89+M90+M91+M95+M96</f>
        <v>0</v>
      </c>
      <c r="N112" s="23" t="n">
        <f aca="false">N88+N89+N90+N91+N95+N96</f>
        <v>0</v>
      </c>
      <c r="O112" s="23" t="n">
        <f aca="false">SUM(C112:N112)</f>
        <v>0</v>
      </c>
      <c r="P112" s="37" t="s">
        <v>144</v>
      </c>
    </row>
  </sheetData>
  <mergeCells count="4">
    <mergeCell ref="B2:O2"/>
    <mergeCell ref="B3:O3"/>
    <mergeCell ref="D4:O4"/>
    <mergeCell ref="B109:P109"/>
  </mergeCells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1272D"/>
    <pageSetUpPr fitToPage="true"/>
  </sheetPr>
  <dimension ref="B2:N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5" min="3" style="0" width="14"/>
    <col collapsed="false" customWidth="true" hidden="false" outlineLevel="0" max="6" min="6" style="0" width="11"/>
    <col collapsed="false" customWidth="true" hidden="false" outlineLevel="0" max="7" min="7" style="0" width="24"/>
    <col collapsed="false" customWidth="true" hidden="false" outlineLevel="0" max="8" min="8" style="0" width="13"/>
    <col collapsed="false" customWidth="true" hidden="false" outlineLevel="0" max="9" min="9" style="0" width="24"/>
    <col collapsed="false" customWidth="true" hidden="false" outlineLevel="0" max="10" min="10" style="0" width="13"/>
    <col collapsed="false" customWidth="true" hidden="false" outlineLevel="0" max="11" min="11" style="0" width="24"/>
    <col collapsed="false" customWidth="true" hidden="false" outlineLevel="0" max="12" min="12" style="0" width="13"/>
    <col collapsed="false" customWidth="true" hidden="false" outlineLevel="0" max="14" min="13" style="0" width="28"/>
  </cols>
  <sheetData>
    <row r="2" customFormat="false" ht="30" hidden="false" customHeight="true" outlineLevel="0" collapsed="false">
      <c r="B2" s="38" t="s">
        <v>145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customFormat="false" ht="22.5" hidden="false" customHeight="true" outlineLevel="0" collapsed="false">
      <c r="B3" s="39" t="s">
        <v>146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customFormat="false" ht="30" hidden="false" customHeight="true" outlineLevel="0" collapsed="false">
      <c r="B4" s="40" t="s">
        <v>147</v>
      </c>
      <c r="C4" s="40" t="s">
        <v>148</v>
      </c>
      <c r="D4" s="40" t="s">
        <v>149</v>
      </c>
      <c r="E4" s="40" t="s">
        <v>150</v>
      </c>
      <c r="F4" s="40" t="s">
        <v>151</v>
      </c>
      <c r="G4" s="40" t="s">
        <v>152</v>
      </c>
      <c r="H4" s="40" t="s">
        <v>153</v>
      </c>
      <c r="I4" s="40" t="s">
        <v>154</v>
      </c>
      <c r="J4" s="40" t="s">
        <v>153</v>
      </c>
      <c r="K4" s="40" t="s">
        <v>155</v>
      </c>
      <c r="L4" s="40" t="s">
        <v>153</v>
      </c>
      <c r="M4" s="40" t="s">
        <v>156</v>
      </c>
      <c r="N4" s="40" t="s">
        <v>157</v>
      </c>
    </row>
    <row r="5" customFormat="false" ht="18.75" hidden="false" customHeight="true" outlineLevel="0" collapsed="false">
      <c r="B5" s="41" t="s">
        <v>158</v>
      </c>
      <c r="C5" s="42" t="n">
        <f aca="false">'Monthly Budget'!C10</f>
        <v>0</v>
      </c>
      <c r="D5" s="42" t="n">
        <f aca="false">'Monthly Budget'!C110</f>
        <v>0</v>
      </c>
      <c r="E5" s="42" t="n">
        <f aca="false">C5-D5</f>
        <v>0</v>
      </c>
      <c r="F5" s="43" t="n">
        <f aca="false">IF(C5=0,0,E5/C5)</f>
        <v>0</v>
      </c>
      <c r="G5" s="44" t="str">
        <f aca="false">IF($D5=0,"—",IF(INDEX(C$21:C$32,MATCH(LARGE(C$36:C$47,1),C$36:C$47,0))=0,"—",INDEX($B$21:$B$32,MATCH(LARGE(C$36:C$47,1),C$36:C$47,0))))</f>
        <v>—</v>
      </c>
      <c r="H5" s="42" t="n">
        <f aca="false">IF($D5=0,0,INDEX(C$21:C$32,MATCH(LARGE(C$36:C$47,1),C$36:C$47,0)))</f>
        <v>0</v>
      </c>
      <c r="I5" s="44" t="str">
        <f aca="false">IF($D5=0,"—",IF(INDEX(C$21:C$32,MATCH(LARGE(C$36:C$47,2),C$36:C$47,0))=0,"—",INDEX($B$21:$B$32,MATCH(LARGE(C$36:C$47,2),C$36:C$47,0))))</f>
        <v>—</v>
      </c>
      <c r="J5" s="42" t="n">
        <f aca="false">IF($D5=0,0,INDEX(C$21:C$32,MATCH(LARGE(C$36:C$47,2),C$36:C$47,0)))</f>
        <v>0</v>
      </c>
      <c r="K5" s="44" t="str">
        <f aca="false">IF($D5=0,"—",IF(INDEX(C$21:C$32,MATCH(LARGE(C$36:C$47,3),C$36:C$47,0))=0,"—",INDEX($B$21:$B$32,MATCH(LARGE(C$36:C$47,3),C$36:C$47,0))))</f>
        <v>—</v>
      </c>
      <c r="L5" s="42" t="n">
        <f aca="false">IF($D5=0,0,INDEX(C$21:C$32,MATCH(LARGE(C$36:C$47,3),C$36:C$47,0)))</f>
        <v>0</v>
      </c>
      <c r="M5" s="45"/>
      <c r="N5" s="45"/>
    </row>
    <row r="6" customFormat="false" ht="18.75" hidden="false" customHeight="true" outlineLevel="0" collapsed="false">
      <c r="B6" s="41" t="s">
        <v>159</v>
      </c>
      <c r="C6" s="42" t="n">
        <f aca="false">'Monthly Budget'!D10</f>
        <v>0</v>
      </c>
      <c r="D6" s="42" t="n">
        <f aca="false">'Monthly Budget'!D110</f>
        <v>0</v>
      </c>
      <c r="E6" s="42" t="n">
        <f aca="false">C6-D6</f>
        <v>0</v>
      </c>
      <c r="F6" s="43" t="n">
        <f aca="false">IF(C6=0,0,E6/C6)</f>
        <v>0</v>
      </c>
      <c r="G6" s="44" t="str">
        <f aca="false">IF($D6=0,"—",IF(INDEX(D$21:D$32,MATCH(LARGE(D$36:D$47,1),D$36:D$47,0))=0,"—",INDEX($B$21:$B$32,MATCH(LARGE(D$36:D$47,1),D$36:D$47,0))))</f>
        <v>—</v>
      </c>
      <c r="H6" s="42" t="n">
        <f aca="false">IF($D6=0,0,INDEX(D$21:D$32,MATCH(LARGE(D$36:D$47,1),D$36:D$47,0)))</f>
        <v>0</v>
      </c>
      <c r="I6" s="44" t="str">
        <f aca="false">IF($D6=0,"—",IF(INDEX(D$21:D$32,MATCH(LARGE(D$36:D$47,2),D$36:D$47,0))=0,"—",INDEX($B$21:$B$32,MATCH(LARGE(D$36:D$47,2),D$36:D$47,0))))</f>
        <v>—</v>
      </c>
      <c r="J6" s="42" t="n">
        <f aca="false">IF($D6=0,0,INDEX(D$21:D$32,MATCH(LARGE(D$36:D$47,2),D$36:D$47,0)))</f>
        <v>0</v>
      </c>
      <c r="K6" s="44" t="str">
        <f aca="false">IF($D6=0,"—",IF(INDEX(D$21:D$32,MATCH(LARGE(D$36:D$47,3),D$36:D$47,0))=0,"—",INDEX($B$21:$B$32,MATCH(LARGE(D$36:D$47,3),D$36:D$47,0))))</f>
        <v>—</v>
      </c>
      <c r="L6" s="42" t="n">
        <f aca="false">IF($D6=0,0,INDEX(D$21:D$32,MATCH(LARGE(D$36:D$47,3),D$36:D$47,0)))</f>
        <v>0</v>
      </c>
      <c r="M6" s="45"/>
      <c r="N6" s="45"/>
    </row>
    <row r="7" customFormat="false" ht="18.75" hidden="false" customHeight="true" outlineLevel="0" collapsed="false">
      <c r="B7" s="41" t="s">
        <v>160</v>
      </c>
      <c r="C7" s="42" t="n">
        <f aca="false">'Monthly Budget'!E10</f>
        <v>0</v>
      </c>
      <c r="D7" s="42" t="n">
        <f aca="false">'Monthly Budget'!E110</f>
        <v>0</v>
      </c>
      <c r="E7" s="42" t="n">
        <f aca="false">C7-D7</f>
        <v>0</v>
      </c>
      <c r="F7" s="43" t="n">
        <f aca="false">IF(C7=0,0,E7/C7)</f>
        <v>0</v>
      </c>
      <c r="G7" s="44" t="str">
        <f aca="false">IF($D7=0,"—",IF(INDEX(E$21:E$32,MATCH(LARGE(E$36:E$47,1),E$36:E$47,0))=0,"—",INDEX($B$21:$B$32,MATCH(LARGE(E$36:E$47,1),E$36:E$47,0))))</f>
        <v>—</v>
      </c>
      <c r="H7" s="42" t="n">
        <f aca="false">IF($D7=0,0,INDEX(E$21:E$32,MATCH(LARGE(E$36:E$47,1),E$36:E$47,0)))</f>
        <v>0</v>
      </c>
      <c r="I7" s="44" t="str">
        <f aca="false">IF($D7=0,"—",IF(INDEX(E$21:E$32,MATCH(LARGE(E$36:E$47,2),E$36:E$47,0))=0,"—",INDEX($B$21:$B$32,MATCH(LARGE(E$36:E$47,2),E$36:E$47,0))))</f>
        <v>—</v>
      </c>
      <c r="J7" s="42" t="n">
        <f aca="false">IF($D7=0,0,INDEX(E$21:E$32,MATCH(LARGE(E$36:E$47,2),E$36:E$47,0)))</f>
        <v>0</v>
      </c>
      <c r="K7" s="44" t="str">
        <f aca="false">IF($D7=0,"—",IF(INDEX(E$21:E$32,MATCH(LARGE(E$36:E$47,3),E$36:E$47,0))=0,"—",INDEX($B$21:$B$32,MATCH(LARGE(E$36:E$47,3),E$36:E$47,0))))</f>
        <v>—</v>
      </c>
      <c r="L7" s="42" t="n">
        <f aca="false">IF($D7=0,0,INDEX(E$21:E$32,MATCH(LARGE(E$36:E$47,3),E$36:E$47,0)))</f>
        <v>0</v>
      </c>
      <c r="M7" s="45"/>
      <c r="N7" s="45"/>
    </row>
    <row r="8" customFormat="false" ht="18.75" hidden="false" customHeight="true" outlineLevel="0" collapsed="false">
      <c r="B8" s="41" t="s">
        <v>161</v>
      </c>
      <c r="C8" s="42" t="n">
        <f aca="false">'Monthly Budget'!F10</f>
        <v>0</v>
      </c>
      <c r="D8" s="42" t="n">
        <f aca="false">'Monthly Budget'!F110</f>
        <v>0</v>
      </c>
      <c r="E8" s="42" t="n">
        <f aca="false">C8-D8</f>
        <v>0</v>
      </c>
      <c r="F8" s="43" t="n">
        <f aca="false">IF(C8=0,0,E8/C8)</f>
        <v>0</v>
      </c>
      <c r="G8" s="44" t="str">
        <f aca="false">IF($D8=0,"—",IF(INDEX(F$21:F$32,MATCH(LARGE(F$36:F$47,1),F$36:F$47,0))=0,"—",INDEX($B$21:$B$32,MATCH(LARGE(F$36:F$47,1),F$36:F$47,0))))</f>
        <v>—</v>
      </c>
      <c r="H8" s="42" t="n">
        <f aca="false">IF($D8=0,0,INDEX(F$21:F$32,MATCH(LARGE(F$36:F$47,1),F$36:F$47,0)))</f>
        <v>0</v>
      </c>
      <c r="I8" s="44" t="str">
        <f aca="false">IF($D8=0,"—",IF(INDEX(F$21:F$32,MATCH(LARGE(F$36:F$47,2),F$36:F$47,0))=0,"—",INDEX($B$21:$B$32,MATCH(LARGE(F$36:F$47,2),F$36:F$47,0))))</f>
        <v>—</v>
      </c>
      <c r="J8" s="42" t="n">
        <f aca="false">IF($D8=0,0,INDEX(F$21:F$32,MATCH(LARGE(F$36:F$47,2),F$36:F$47,0)))</f>
        <v>0</v>
      </c>
      <c r="K8" s="44" t="str">
        <f aca="false">IF($D8=0,"—",IF(INDEX(F$21:F$32,MATCH(LARGE(F$36:F$47,3),F$36:F$47,0))=0,"—",INDEX($B$21:$B$32,MATCH(LARGE(F$36:F$47,3),F$36:F$47,0))))</f>
        <v>—</v>
      </c>
      <c r="L8" s="42" t="n">
        <f aca="false">IF($D8=0,0,INDEX(F$21:F$32,MATCH(LARGE(F$36:F$47,3),F$36:F$47,0)))</f>
        <v>0</v>
      </c>
      <c r="M8" s="45"/>
      <c r="N8" s="45"/>
    </row>
    <row r="9" customFormat="false" ht="18.75" hidden="false" customHeight="true" outlineLevel="0" collapsed="false">
      <c r="B9" s="41" t="s">
        <v>162</v>
      </c>
      <c r="C9" s="42" t="n">
        <f aca="false">'Monthly Budget'!G10</f>
        <v>0</v>
      </c>
      <c r="D9" s="42" t="n">
        <f aca="false">'Monthly Budget'!G110</f>
        <v>0</v>
      </c>
      <c r="E9" s="42" t="n">
        <f aca="false">C9-D9</f>
        <v>0</v>
      </c>
      <c r="F9" s="43" t="n">
        <f aca="false">IF(C9=0,0,E9/C9)</f>
        <v>0</v>
      </c>
      <c r="G9" s="44" t="str">
        <f aca="false">IF($D9=0,"—",IF(INDEX(G$21:G$32,MATCH(LARGE(G$36:G$47,1),G$36:G$47,0))=0,"—",INDEX($B$21:$B$32,MATCH(LARGE(G$36:G$47,1),G$36:G$47,0))))</f>
        <v>—</v>
      </c>
      <c r="H9" s="42" t="n">
        <f aca="false">IF($D9=0,0,INDEX(G$21:G$32,MATCH(LARGE(G$36:G$47,1),G$36:G$47,0)))</f>
        <v>0</v>
      </c>
      <c r="I9" s="44" t="str">
        <f aca="false">IF($D9=0,"—",IF(INDEX(G$21:G$32,MATCH(LARGE(G$36:G$47,2),G$36:G$47,0))=0,"—",INDEX($B$21:$B$32,MATCH(LARGE(G$36:G$47,2),G$36:G$47,0))))</f>
        <v>—</v>
      </c>
      <c r="J9" s="42" t="n">
        <f aca="false">IF($D9=0,0,INDEX(G$21:G$32,MATCH(LARGE(G$36:G$47,2),G$36:G$47,0)))</f>
        <v>0</v>
      </c>
      <c r="K9" s="44" t="str">
        <f aca="false">IF($D9=0,"—",IF(INDEX(G$21:G$32,MATCH(LARGE(G$36:G$47,3),G$36:G$47,0))=0,"—",INDEX($B$21:$B$32,MATCH(LARGE(G$36:G$47,3),G$36:G$47,0))))</f>
        <v>—</v>
      </c>
      <c r="L9" s="42" t="n">
        <f aca="false">IF($D9=0,0,INDEX(G$21:G$32,MATCH(LARGE(G$36:G$47,3),G$36:G$47,0)))</f>
        <v>0</v>
      </c>
      <c r="M9" s="45"/>
      <c r="N9" s="45"/>
    </row>
    <row r="10" customFormat="false" ht="18.75" hidden="false" customHeight="true" outlineLevel="0" collapsed="false">
      <c r="B10" s="41" t="s">
        <v>163</v>
      </c>
      <c r="C10" s="42" t="n">
        <f aca="false">'Monthly Budget'!H10</f>
        <v>0</v>
      </c>
      <c r="D10" s="42" t="n">
        <f aca="false">'Monthly Budget'!H110</f>
        <v>0</v>
      </c>
      <c r="E10" s="42" t="n">
        <f aca="false">C10-D10</f>
        <v>0</v>
      </c>
      <c r="F10" s="43" t="n">
        <f aca="false">IF(C10=0,0,E10/C10)</f>
        <v>0</v>
      </c>
      <c r="G10" s="44" t="str">
        <f aca="false">IF($D10=0,"—",IF(INDEX(H$21:H$32,MATCH(LARGE(H$36:H$47,1),H$36:H$47,0))=0,"—",INDEX($B$21:$B$32,MATCH(LARGE(H$36:H$47,1),H$36:H$47,0))))</f>
        <v>—</v>
      </c>
      <c r="H10" s="42" t="n">
        <f aca="false">IF($D10=0,0,INDEX(H$21:H$32,MATCH(LARGE(H$36:H$47,1),H$36:H$47,0)))</f>
        <v>0</v>
      </c>
      <c r="I10" s="44" t="str">
        <f aca="false">IF($D10=0,"—",IF(INDEX(H$21:H$32,MATCH(LARGE(H$36:H$47,2),H$36:H$47,0))=0,"—",INDEX($B$21:$B$32,MATCH(LARGE(H$36:H$47,2),H$36:H$47,0))))</f>
        <v>—</v>
      </c>
      <c r="J10" s="42" t="n">
        <f aca="false">IF($D10=0,0,INDEX(H$21:H$32,MATCH(LARGE(H$36:H$47,2),H$36:H$47,0)))</f>
        <v>0</v>
      </c>
      <c r="K10" s="44" t="str">
        <f aca="false">IF($D10=0,"—",IF(INDEX(H$21:H$32,MATCH(LARGE(H$36:H$47,3),H$36:H$47,0))=0,"—",INDEX($B$21:$B$32,MATCH(LARGE(H$36:H$47,3),H$36:H$47,0))))</f>
        <v>—</v>
      </c>
      <c r="L10" s="42" t="n">
        <f aca="false">IF($D10=0,0,INDEX(H$21:H$32,MATCH(LARGE(H$36:H$47,3),H$36:H$47,0)))</f>
        <v>0</v>
      </c>
      <c r="M10" s="45"/>
      <c r="N10" s="45"/>
    </row>
    <row r="11" customFormat="false" ht="18.75" hidden="false" customHeight="true" outlineLevel="0" collapsed="false">
      <c r="B11" s="41" t="s">
        <v>164</v>
      </c>
      <c r="C11" s="42" t="n">
        <f aca="false">'Monthly Budget'!I10</f>
        <v>0</v>
      </c>
      <c r="D11" s="42" t="n">
        <f aca="false">'Monthly Budget'!I110</f>
        <v>0</v>
      </c>
      <c r="E11" s="42" t="n">
        <f aca="false">C11-D11</f>
        <v>0</v>
      </c>
      <c r="F11" s="43" t="n">
        <f aca="false">IF(C11=0,0,E11/C11)</f>
        <v>0</v>
      </c>
      <c r="G11" s="44" t="str">
        <f aca="false">IF($D11=0,"—",IF(INDEX(I$21:I$32,MATCH(LARGE(I$36:I$47,1),I$36:I$47,0))=0,"—",INDEX($B$21:$B$32,MATCH(LARGE(I$36:I$47,1),I$36:I$47,0))))</f>
        <v>—</v>
      </c>
      <c r="H11" s="42" t="n">
        <f aca="false">IF($D11=0,0,INDEX(I$21:I$32,MATCH(LARGE(I$36:I$47,1),I$36:I$47,0)))</f>
        <v>0</v>
      </c>
      <c r="I11" s="44" t="str">
        <f aca="false">IF($D11=0,"—",IF(INDEX(I$21:I$32,MATCH(LARGE(I$36:I$47,2),I$36:I$47,0))=0,"—",INDEX($B$21:$B$32,MATCH(LARGE(I$36:I$47,2),I$36:I$47,0))))</f>
        <v>—</v>
      </c>
      <c r="J11" s="42" t="n">
        <f aca="false">IF($D11=0,0,INDEX(I$21:I$32,MATCH(LARGE(I$36:I$47,2),I$36:I$47,0)))</f>
        <v>0</v>
      </c>
      <c r="K11" s="44" t="str">
        <f aca="false">IF($D11=0,"—",IF(INDEX(I$21:I$32,MATCH(LARGE(I$36:I$47,3),I$36:I$47,0))=0,"—",INDEX($B$21:$B$32,MATCH(LARGE(I$36:I$47,3),I$36:I$47,0))))</f>
        <v>—</v>
      </c>
      <c r="L11" s="42" t="n">
        <f aca="false">IF($D11=0,0,INDEX(I$21:I$32,MATCH(LARGE(I$36:I$47,3),I$36:I$47,0)))</f>
        <v>0</v>
      </c>
      <c r="M11" s="45"/>
      <c r="N11" s="45"/>
    </row>
    <row r="12" customFormat="false" ht="18.75" hidden="false" customHeight="true" outlineLevel="0" collapsed="false">
      <c r="B12" s="41" t="s">
        <v>165</v>
      </c>
      <c r="C12" s="42" t="n">
        <f aca="false">'Monthly Budget'!J10</f>
        <v>0</v>
      </c>
      <c r="D12" s="42" t="n">
        <f aca="false">'Monthly Budget'!J110</f>
        <v>0</v>
      </c>
      <c r="E12" s="42" t="n">
        <f aca="false">C12-D12</f>
        <v>0</v>
      </c>
      <c r="F12" s="43" t="n">
        <f aca="false">IF(C12=0,0,E12/C12)</f>
        <v>0</v>
      </c>
      <c r="G12" s="44" t="str">
        <f aca="false">IF($D12=0,"—",IF(INDEX(J$21:J$32,MATCH(LARGE(J$36:J$47,1),J$36:J$47,0))=0,"—",INDEX($B$21:$B$32,MATCH(LARGE(J$36:J$47,1),J$36:J$47,0))))</f>
        <v>—</v>
      </c>
      <c r="H12" s="42" t="n">
        <f aca="false">IF($D12=0,0,INDEX(J$21:J$32,MATCH(LARGE(J$36:J$47,1),J$36:J$47,0)))</f>
        <v>0</v>
      </c>
      <c r="I12" s="44" t="str">
        <f aca="false">IF($D12=0,"—",IF(INDEX(J$21:J$32,MATCH(LARGE(J$36:J$47,2),J$36:J$47,0))=0,"—",INDEX($B$21:$B$32,MATCH(LARGE(J$36:J$47,2),J$36:J$47,0))))</f>
        <v>—</v>
      </c>
      <c r="J12" s="42" t="n">
        <f aca="false">IF($D12=0,0,INDEX(J$21:J$32,MATCH(LARGE(J$36:J$47,2),J$36:J$47,0)))</f>
        <v>0</v>
      </c>
      <c r="K12" s="44" t="str">
        <f aca="false">IF($D12=0,"—",IF(INDEX(J$21:J$32,MATCH(LARGE(J$36:J$47,3),J$36:J$47,0))=0,"—",INDEX($B$21:$B$32,MATCH(LARGE(J$36:J$47,3),J$36:J$47,0))))</f>
        <v>—</v>
      </c>
      <c r="L12" s="42" t="n">
        <f aca="false">IF($D12=0,0,INDEX(J$21:J$32,MATCH(LARGE(J$36:J$47,3),J$36:J$47,0)))</f>
        <v>0</v>
      </c>
      <c r="M12" s="45"/>
      <c r="N12" s="45"/>
    </row>
    <row r="13" customFormat="false" ht="18.75" hidden="false" customHeight="true" outlineLevel="0" collapsed="false">
      <c r="B13" s="41" t="s">
        <v>166</v>
      </c>
      <c r="C13" s="42" t="n">
        <f aca="false">'Monthly Budget'!K10</f>
        <v>0</v>
      </c>
      <c r="D13" s="42" t="n">
        <f aca="false">'Monthly Budget'!K110</f>
        <v>0</v>
      </c>
      <c r="E13" s="42" t="n">
        <f aca="false">C13-D13</f>
        <v>0</v>
      </c>
      <c r="F13" s="43" t="n">
        <f aca="false">IF(C13=0,0,E13/C13)</f>
        <v>0</v>
      </c>
      <c r="G13" s="44" t="str">
        <f aca="false">IF($D13=0,"—",IF(INDEX(K$21:K$32,MATCH(LARGE(K$36:K$47,1),K$36:K$47,0))=0,"—",INDEX($B$21:$B$32,MATCH(LARGE(K$36:K$47,1),K$36:K$47,0))))</f>
        <v>—</v>
      </c>
      <c r="H13" s="42" t="n">
        <f aca="false">IF($D13=0,0,INDEX(K$21:K$32,MATCH(LARGE(K$36:K$47,1),K$36:K$47,0)))</f>
        <v>0</v>
      </c>
      <c r="I13" s="44" t="str">
        <f aca="false">IF($D13=0,"—",IF(INDEX(K$21:K$32,MATCH(LARGE(K$36:K$47,2),K$36:K$47,0))=0,"—",INDEX($B$21:$B$32,MATCH(LARGE(K$36:K$47,2),K$36:K$47,0))))</f>
        <v>—</v>
      </c>
      <c r="J13" s="42" t="n">
        <f aca="false">IF($D13=0,0,INDEX(K$21:K$32,MATCH(LARGE(K$36:K$47,2),K$36:K$47,0)))</f>
        <v>0</v>
      </c>
      <c r="K13" s="44" t="str">
        <f aca="false">IF($D13=0,"—",IF(INDEX(K$21:K$32,MATCH(LARGE(K$36:K$47,3),K$36:K$47,0))=0,"—",INDEX($B$21:$B$32,MATCH(LARGE(K$36:K$47,3),K$36:K$47,0))))</f>
        <v>—</v>
      </c>
      <c r="L13" s="42" t="n">
        <f aca="false">IF($D13=0,0,INDEX(K$21:K$32,MATCH(LARGE(K$36:K$47,3),K$36:K$47,0)))</f>
        <v>0</v>
      </c>
      <c r="M13" s="45"/>
      <c r="N13" s="45"/>
    </row>
    <row r="14" customFormat="false" ht="18.75" hidden="false" customHeight="true" outlineLevel="0" collapsed="false">
      <c r="B14" s="41" t="s">
        <v>167</v>
      </c>
      <c r="C14" s="42" t="n">
        <f aca="false">'Monthly Budget'!L10</f>
        <v>0</v>
      </c>
      <c r="D14" s="42" t="n">
        <f aca="false">'Monthly Budget'!L110</f>
        <v>0</v>
      </c>
      <c r="E14" s="42" t="n">
        <f aca="false">C14-D14</f>
        <v>0</v>
      </c>
      <c r="F14" s="43" t="n">
        <f aca="false">IF(C14=0,0,E14/C14)</f>
        <v>0</v>
      </c>
      <c r="G14" s="44" t="str">
        <f aca="false">IF($D14=0,"—",IF(INDEX(L$21:L$32,MATCH(LARGE(L$36:L$47,1),L$36:L$47,0))=0,"—",INDEX($B$21:$B$32,MATCH(LARGE(L$36:L$47,1),L$36:L$47,0))))</f>
        <v>—</v>
      </c>
      <c r="H14" s="42" t="n">
        <f aca="false">IF($D14=0,0,INDEX(L$21:L$32,MATCH(LARGE(L$36:L$47,1),L$36:L$47,0)))</f>
        <v>0</v>
      </c>
      <c r="I14" s="44" t="str">
        <f aca="false">IF($D14=0,"—",IF(INDEX(L$21:L$32,MATCH(LARGE(L$36:L$47,2),L$36:L$47,0))=0,"—",INDEX($B$21:$B$32,MATCH(LARGE(L$36:L$47,2),L$36:L$47,0))))</f>
        <v>—</v>
      </c>
      <c r="J14" s="42" t="n">
        <f aca="false">IF($D14=0,0,INDEX(L$21:L$32,MATCH(LARGE(L$36:L$47,2),L$36:L$47,0)))</f>
        <v>0</v>
      </c>
      <c r="K14" s="44" t="str">
        <f aca="false">IF($D14=0,"—",IF(INDEX(L$21:L$32,MATCH(LARGE(L$36:L$47,3),L$36:L$47,0))=0,"—",INDEX($B$21:$B$32,MATCH(LARGE(L$36:L$47,3),L$36:L$47,0))))</f>
        <v>—</v>
      </c>
      <c r="L14" s="42" t="n">
        <f aca="false">IF($D14=0,0,INDEX(L$21:L$32,MATCH(LARGE(L$36:L$47,3),L$36:L$47,0)))</f>
        <v>0</v>
      </c>
      <c r="M14" s="45"/>
      <c r="N14" s="45"/>
    </row>
    <row r="15" customFormat="false" ht="18.75" hidden="false" customHeight="true" outlineLevel="0" collapsed="false">
      <c r="B15" s="41" t="s">
        <v>168</v>
      </c>
      <c r="C15" s="42" t="n">
        <f aca="false">'Monthly Budget'!M10</f>
        <v>0</v>
      </c>
      <c r="D15" s="42" t="n">
        <f aca="false">'Monthly Budget'!M110</f>
        <v>0</v>
      </c>
      <c r="E15" s="42" t="n">
        <f aca="false">C15-D15</f>
        <v>0</v>
      </c>
      <c r="F15" s="43" t="n">
        <f aca="false">IF(C15=0,0,E15/C15)</f>
        <v>0</v>
      </c>
      <c r="G15" s="44" t="str">
        <f aca="false">IF($D15=0,"—",IF(INDEX(M$21:M$32,MATCH(LARGE(M$36:M$47,1),M$36:M$47,0))=0,"—",INDEX($B$21:$B$32,MATCH(LARGE(M$36:M$47,1),M$36:M$47,0))))</f>
        <v>—</v>
      </c>
      <c r="H15" s="42" t="n">
        <f aca="false">IF($D15=0,0,INDEX(M$21:M$32,MATCH(LARGE(M$36:M$47,1),M$36:M$47,0)))</f>
        <v>0</v>
      </c>
      <c r="I15" s="44" t="str">
        <f aca="false">IF($D15=0,"—",IF(INDEX(M$21:M$32,MATCH(LARGE(M$36:M$47,2),M$36:M$47,0))=0,"—",INDEX($B$21:$B$32,MATCH(LARGE(M$36:M$47,2),M$36:M$47,0))))</f>
        <v>—</v>
      </c>
      <c r="J15" s="42" t="n">
        <f aca="false">IF($D15=0,0,INDEX(M$21:M$32,MATCH(LARGE(M$36:M$47,2),M$36:M$47,0)))</f>
        <v>0</v>
      </c>
      <c r="K15" s="44" t="str">
        <f aca="false">IF($D15=0,"—",IF(INDEX(M$21:M$32,MATCH(LARGE(M$36:M$47,3),M$36:M$47,0))=0,"—",INDEX($B$21:$B$32,MATCH(LARGE(M$36:M$47,3),M$36:M$47,0))))</f>
        <v>—</v>
      </c>
      <c r="L15" s="42" t="n">
        <f aca="false">IF($D15=0,0,INDEX(M$21:M$32,MATCH(LARGE(M$36:M$47,3),M$36:M$47,0)))</f>
        <v>0</v>
      </c>
      <c r="M15" s="45"/>
      <c r="N15" s="45"/>
    </row>
    <row r="16" customFormat="false" ht="18.75" hidden="false" customHeight="true" outlineLevel="0" collapsed="false">
      <c r="B16" s="41" t="s">
        <v>169</v>
      </c>
      <c r="C16" s="42" t="n">
        <f aca="false">'Monthly Budget'!N10</f>
        <v>0</v>
      </c>
      <c r="D16" s="42" t="n">
        <f aca="false">'Monthly Budget'!N110</f>
        <v>0</v>
      </c>
      <c r="E16" s="42" t="n">
        <f aca="false">C16-D16</f>
        <v>0</v>
      </c>
      <c r="F16" s="43" t="n">
        <f aca="false">IF(C16=0,0,E16/C16)</f>
        <v>0</v>
      </c>
      <c r="G16" s="44" t="str">
        <f aca="false">IF($D16=0,"—",IF(INDEX(N$21:N$32,MATCH(LARGE(N$36:N$47,1),N$36:N$47,0))=0,"—",INDEX($B$21:$B$32,MATCH(LARGE(N$36:N$47,1),N$36:N$47,0))))</f>
        <v>—</v>
      </c>
      <c r="H16" s="42" t="n">
        <f aca="false">IF($D16=0,0,INDEX(N$21:N$32,MATCH(LARGE(N$36:N$47,1),N$36:N$47,0)))</f>
        <v>0</v>
      </c>
      <c r="I16" s="44" t="str">
        <f aca="false">IF($D16=0,"—",IF(INDEX(N$21:N$32,MATCH(LARGE(N$36:N$47,2),N$36:N$47,0))=0,"—",INDEX($B$21:$B$32,MATCH(LARGE(N$36:N$47,2),N$36:N$47,0))))</f>
        <v>—</v>
      </c>
      <c r="J16" s="42" t="n">
        <f aca="false">IF($D16=0,0,INDEX(N$21:N$32,MATCH(LARGE(N$36:N$47,2),N$36:N$47,0)))</f>
        <v>0</v>
      </c>
      <c r="K16" s="44" t="str">
        <f aca="false">IF($D16=0,"—",IF(INDEX(N$21:N$32,MATCH(LARGE(N$36:N$47,3),N$36:N$47,0))=0,"—",INDEX($B$21:$B$32,MATCH(LARGE(N$36:N$47,3),N$36:N$47,0))))</f>
        <v>—</v>
      </c>
      <c r="L16" s="42" t="n">
        <f aca="false">IF($D16=0,0,INDEX(N$21:N$32,MATCH(LARGE(N$36:N$47,3),N$36:N$47,0)))</f>
        <v>0</v>
      </c>
      <c r="M16" s="45"/>
      <c r="N16" s="45"/>
    </row>
    <row r="19" customFormat="false" ht="21" hidden="false" customHeight="true" outlineLevel="0" collapsed="false">
      <c r="B19" s="46" t="s">
        <v>170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customFormat="false" ht="15" hidden="false" customHeight="false" outlineLevel="0" collapsed="false">
      <c r="B20" s="47" t="s">
        <v>171</v>
      </c>
      <c r="C20" s="48" t="s">
        <v>28</v>
      </c>
      <c r="D20" s="48" t="s">
        <v>29</v>
      </c>
      <c r="E20" s="48" t="s">
        <v>30</v>
      </c>
      <c r="F20" s="48" t="s">
        <v>31</v>
      </c>
      <c r="G20" s="48" t="s">
        <v>32</v>
      </c>
      <c r="H20" s="48" t="s">
        <v>33</v>
      </c>
      <c r="I20" s="48" t="s">
        <v>34</v>
      </c>
      <c r="J20" s="48" t="s">
        <v>35</v>
      </c>
      <c r="K20" s="48" t="s">
        <v>36</v>
      </c>
      <c r="L20" s="48" t="s">
        <v>37</v>
      </c>
      <c r="M20" s="48" t="s">
        <v>38</v>
      </c>
      <c r="N20" s="48" t="s">
        <v>39</v>
      </c>
    </row>
    <row r="21" customFormat="false" ht="25.5" hidden="false" customHeight="true" outlineLevel="0" collapsed="false">
      <c r="B21" s="49" t="s">
        <v>172</v>
      </c>
      <c r="C21" s="50" t="n">
        <f aca="false">'Monthly Budget'!C17</f>
        <v>0</v>
      </c>
      <c r="D21" s="50" t="n">
        <f aca="false">'Monthly Budget'!D17</f>
        <v>0</v>
      </c>
      <c r="E21" s="50" t="n">
        <f aca="false">'Monthly Budget'!E17</f>
        <v>0</v>
      </c>
      <c r="F21" s="50" t="n">
        <f aca="false">'Monthly Budget'!F17</f>
        <v>0</v>
      </c>
      <c r="G21" s="50" t="n">
        <f aca="false">'Monthly Budget'!G17</f>
        <v>0</v>
      </c>
      <c r="H21" s="50" t="n">
        <f aca="false">'Monthly Budget'!H17</f>
        <v>0</v>
      </c>
      <c r="I21" s="50" t="n">
        <f aca="false">'Monthly Budget'!I17</f>
        <v>0</v>
      </c>
      <c r="J21" s="50" t="n">
        <f aca="false">'Monthly Budget'!J17</f>
        <v>0</v>
      </c>
      <c r="K21" s="50" t="n">
        <f aca="false">'Monthly Budget'!K17</f>
        <v>0</v>
      </c>
      <c r="L21" s="50" t="n">
        <f aca="false">'Monthly Budget'!L17</f>
        <v>0</v>
      </c>
      <c r="M21" s="50" t="n">
        <f aca="false">'Monthly Budget'!M17</f>
        <v>0</v>
      </c>
      <c r="N21" s="50" t="n">
        <f aca="false">'Monthly Budget'!N17</f>
        <v>0</v>
      </c>
    </row>
    <row r="22" customFormat="false" ht="25.5" hidden="false" customHeight="true" outlineLevel="0" collapsed="false">
      <c r="B22" s="49" t="s">
        <v>173</v>
      </c>
      <c r="C22" s="50" t="n">
        <f aca="false">'Monthly Budget'!C26</f>
        <v>0</v>
      </c>
      <c r="D22" s="50" t="n">
        <f aca="false">'Monthly Budget'!D26</f>
        <v>0</v>
      </c>
      <c r="E22" s="50" t="n">
        <f aca="false">'Monthly Budget'!E26</f>
        <v>0</v>
      </c>
      <c r="F22" s="50" t="n">
        <f aca="false">'Monthly Budget'!F26</f>
        <v>0</v>
      </c>
      <c r="G22" s="50" t="n">
        <f aca="false">'Monthly Budget'!G26</f>
        <v>0</v>
      </c>
      <c r="H22" s="50" t="n">
        <f aca="false">'Monthly Budget'!H26</f>
        <v>0</v>
      </c>
      <c r="I22" s="50" t="n">
        <f aca="false">'Monthly Budget'!I26</f>
        <v>0</v>
      </c>
      <c r="J22" s="50" t="n">
        <f aca="false">'Monthly Budget'!J26</f>
        <v>0</v>
      </c>
      <c r="K22" s="50" t="n">
        <f aca="false">'Monthly Budget'!K26</f>
        <v>0</v>
      </c>
      <c r="L22" s="50" t="n">
        <f aca="false">'Monthly Budget'!L26</f>
        <v>0</v>
      </c>
      <c r="M22" s="50" t="n">
        <f aca="false">'Monthly Budget'!M26</f>
        <v>0</v>
      </c>
      <c r="N22" s="50" t="n">
        <f aca="false">'Monthly Budget'!N26</f>
        <v>0</v>
      </c>
    </row>
    <row r="23" customFormat="false" ht="25.5" hidden="false" customHeight="true" outlineLevel="0" collapsed="false">
      <c r="B23" s="49" t="s">
        <v>174</v>
      </c>
      <c r="C23" s="50" t="n">
        <f aca="false">'Monthly Budget'!C35</f>
        <v>0</v>
      </c>
      <c r="D23" s="50" t="n">
        <f aca="false">'Monthly Budget'!D35</f>
        <v>0</v>
      </c>
      <c r="E23" s="50" t="n">
        <f aca="false">'Monthly Budget'!E35</f>
        <v>0</v>
      </c>
      <c r="F23" s="50" t="n">
        <f aca="false">'Monthly Budget'!F35</f>
        <v>0</v>
      </c>
      <c r="G23" s="50" t="n">
        <f aca="false">'Monthly Budget'!G35</f>
        <v>0</v>
      </c>
      <c r="H23" s="50" t="n">
        <f aca="false">'Monthly Budget'!H35</f>
        <v>0</v>
      </c>
      <c r="I23" s="50" t="n">
        <f aca="false">'Monthly Budget'!I35</f>
        <v>0</v>
      </c>
      <c r="J23" s="50" t="n">
        <f aca="false">'Monthly Budget'!J35</f>
        <v>0</v>
      </c>
      <c r="K23" s="50" t="n">
        <f aca="false">'Monthly Budget'!K35</f>
        <v>0</v>
      </c>
      <c r="L23" s="50" t="n">
        <f aca="false">'Monthly Budget'!L35</f>
        <v>0</v>
      </c>
      <c r="M23" s="50" t="n">
        <f aca="false">'Monthly Budget'!M35</f>
        <v>0</v>
      </c>
      <c r="N23" s="50" t="n">
        <f aca="false">'Monthly Budget'!N35</f>
        <v>0</v>
      </c>
    </row>
    <row r="24" customFormat="false" ht="25.5" hidden="false" customHeight="true" outlineLevel="0" collapsed="false">
      <c r="B24" s="49" t="s">
        <v>175</v>
      </c>
      <c r="C24" s="50" t="n">
        <f aca="false">'Monthly Budget'!C42</f>
        <v>0</v>
      </c>
      <c r="D24" s="50" t="n">
        <f aca="false">'Monthly Budget'!D42</f>
        <v>0</v>
      </c>
      <c r="E24" s="50" t="n">
        <f aca="false">'Monthly Budget'!E42</f>
        <v>0</v>
      </c>
      <c r="F24" s="50" t="n">
        <f aca="false">'Monthly Budget'!F42</f>
        <v>0</v>
      </c>
      <c r="G24" s="50" t="n">
        <f aca="false">'Monthly Budget'!G42</f>
        <v>0</v>
      </c>
      <c r="H24" s="50" t="n">
        <f aca="false">'Monthly Budget'!H42</f>
        <v>0</v>
      </c>
      <c r="I24" s="50" t="n">
        <f aca="false">'Monthly Budget'!I42</f>
        <v>0</v>
      </c>
      <c r="J24" s="50" t="n">
        <f aca="false">'Monthly Budget'!J42</f>
        <v>0</v>
      </c>
      <c r="K24" s="50" t="n">
        <f aca="false">'Monthly Budget'!K42</f>
        <v>0</v>
      </c>
      <c r="L24" s="50" t="n">
        <f aca="false">'Monthly Budget'!L42</f>
        <v>0</v>
      </c>
      <c r="M24" s="50" t="n">
        <f aca="false">'Monthly Budget'!M42</f>
        <v>0</v>
      </c>
      <c r="N24" s="50" t="n">
        <f aca="false">'Monthly Budget'!N42</f>
        <v>0</v>
      </c>
    </row>
    <row r="25" customFormat="false" ht="25.5" hidden="false" customHeight="true" outlineLevel="0" collapsed="false">
      <c r="B25" s="49" t="s">
        <v>176</v>
      </c>
      <c r="C25" s="50" t="n">
        <f aca="false">'Monthly Budget'!C52</f>
        <v>0</v>
      </c>
      <c r="D25" s="50" t="n">
        <f aca="false">'Monthly Budget'!D52</f>
        <v>0</v>
      </c>
      <c r="E25" s="50" t="n">
        <f aca="false">'Monthly Budget'!E52</f>
        <v>0</v>
      </c>
      <c r="F25" s="50" t="n">
        <f aca="false">'Monthly Budget'!F52</f>
        <v>0</v>
      </c>
      <c r="G25" s="50" t="n">
        <f aca="false">'Monthly Budget'!G52</f>
        <v>0</v>
      </c>
      <c r="H25" s="50" t="n">
        <f aca="false">'Monthly Budget'!H52</f>
        <v>0</v>
      </c>
      <c r="I25" s="50" t="n">
        <f aca="false">'Monthly Budget'!I52</f>
        <v>0</v>
      </c>
      <c r="J25" s="50" t="n">
        <f aca="false">'Monthly Budget'!J52</f>
        <v>0</v>
      </c>
      <c r="K25" s="50" t="n">
        <f aca="false">'Monthly Budget'!K52</f>
        <v>0</v>
      </c>
      <c r="L25" s="50" t="n">
        <f aca="false">'Monthly Budget'!L52</f>
        <v>0</v>
      </c>
      <c r="M25" s="50" t="n">
        <f aca="false">'Monthly Budget'!M52</f>
        <v>0</v>
      </c>
      <c r="N25" s="50" t="n">
        <f aca="false">'Monthly Budget'!N52</f>
        <v>0</v>
      </c>
    </row>
    <row r="26" customFormat="false" ht="25.5" hidden="false" customHeight="true" outlineLevel="0" collapsed="false">
      <c r="B26" s="49" t="s">
        <v>177</v>
      </c>
      <c r="C26" s="50" t="n">
        <f aca="false">'Monthly Budget'!C61</f>
        <v>0</v>
      </c>
      <c r="D26" s="50" t="n">
        <f aca="false">'Monthly Budget'!D61</f>
        <v>0</v>
      </c>
      <c r="E26" s="50" t="n">
        <f aca="false">'Monthly Budget'!E61</f>
        <v>0</v>
      </c>
      <c r="F26" s="50" t="n">
        <f aca="false">'Monthly Budget'!F61</f>
        <v>0</v>
      </c>
      <c r="G26" s="50" t="n">
        <f aca="false">'Monthly Budget'!G61</f>
        <v>0</v>
      </c>
      <c r="H26" s="50" t="n">
        <f aca="false">'Monthly Budget'!H61</f>
        <v>0</v>
      </c>
      <c r="I26" s="50" t="n">
        <f aca="false">'Monthly Budget'!I61</f>
        <v>0</v>
      </c>
      <c r="J26" s="50" t="n">
        <f aca="false">'Monthly Budget'!J61</f>
        <v>0</v>
      </c>
      <c r="K26" s="50" t="n">
        <f aca="false">'Monthly Budget'!K61</f>
        <v>0</v>
      </c>
      <c r="L26" s="50" t="n">
        <f aca="false">'Monthly Budget'!L61</f>
        <v>0</v>
      </c>
      <c r="M26" s="50" t="n">
        <f aca="false">'Monthly Budget'!M61</f>
        <v>0</v>
      </c>
      <c r="N26" s="50" t="n">
        <f aca="false">'Monthly Budget'!N61</f>
        <v>0</v>
      </c>
    </row>
    <row r="27" customFormat="false" ht="25.5" hidden="false" customHeight="true" outlineLevel="0" collapsed="false">
      <c r="B27" s="49" t="s">
        <v>178</v>
      </c>
      <c r="C27" s="50" t="n">
        <f aca="false">'Monthly Budget'!C68</f>
        <v>0</v>
      </c>
      <c r="D27" s="50" t="n">
        <f aca="false">'Monthly Budget'!D68</f>
        <v>0</v>
      </c>
      <c r="E27" s="50" t="n">
        <f aca="false">'Monthly Budget'!E68</f>
        <v>0</v>
      </c>
      <c r="F27" s="50" t="n">
        <f aca="false">'Monthly Budget'!F68</f>
        <v>0</v>
      </c>
      <c r="G27" s="50" t="n">
        <f aca="false">'Monthly Budget'!G68</f>
        <v>0</v>
      </c>
      <c r="H27" s="50" t="n">
        <f aca="false">'Monthly Budget'!H68</f>
        <v>0</v>
      </c>
      <c r="I27" s="50" t="n">
        <f aca="false">'Monthly Budget'!I68</f>
        <v>0</v>
      </c>
      <c r="J27" s="50" t="n">
        <f aca="false">'Monthly Budget'!J68</f>
        <v>0</v>
      </c>
      <c r="K27" s="50" t="n">
        <f aca="false">'Monthly Budget'!K68</f>
        <v>0</v>
      </c>
      <c r="L27" s="50" t="n">
        <f aca="false">'Monthly Budget'!L68</f>
        <v>0</v>
      </c>
      <c r="M27" s="50" t="n">
        <f aca="false">'Monthly Budget'!M68</f>
        <v>0</v>
      </c>
      <c r="N27" s="50" t="n">
        <f aca="false">'Monthly Budget'!N68</f>
        <v>0</v>
      </c>
    </row>
    <row r="28" customFormat="false" ht="25.5" hidden="false" customHeight="true" outlineLevel="0" collapsed="false">
      <c r="B28" s="49" t="s">
        <v>179</v>
      </c>
      <c r="C28" s="50" t="n">
        <f aca="false">'Monthly Budget'!C77</f>
        <v>0</v>
      </c>
      <c r="D28" s="50" t="n">
        <f aca="false">'Monthly Budget'!D77</f>
        <v>0</v>
      </c>
      <c r="E28" s="50" t="n">
        <f aca="false">'Monthly Budget'!E77</f>
        <v>0</v>
      </c>
      <c r="F28" s="50" t="n">
        <f aca="false">'Monthly Budget'!F77</f>
        <v>0</v>
      </c>
      <c r="G28" s="50" t="n">
        <f aca="false">'Monthly Budget'!G77</f>
        <v>0</v>
      </c>
      <c r="H28" s="50" t="n">
        <f aca="false">'Monthly Budget'!H77</f>
        <v>0</v>
      </c>
      <c r="I28" s="50" t="n">
        <f aca="false">'Monthly Budget'!I77</f>
        <v>0</v>
      </c>
      <c r="J28" s="50" t="n">
        <f aca="false">'Monthly Budget'!J77</f>
        <v>0</v>
      </c>
      <c r="K28" s="50" t="n">
        <f aca="false">'Monthly Budget'!K77</f>
        <v>0</v>
      </c>
      <c r="L28" s="50" t="n">
        <f aca="false">'Monthly Budget'!L77</f>
        <v>0</v>
      </c>
      <c r="M28" s="50" t="n">
        <f aca="false">'Monthly Budget'!M77</f>
        <v>0</v>
      </c>
      <c r="N28" s="50" t="n">
        <f aca="false">'Monthly Budget'!N77</f>
        <v>0</v>
      </c>
    </row>
    <row r="29" customFormat="false" ht="25.5" hidden="false" customHeight="true" outlineLevel="0" collapsed="false">
      <c r="B29" s="49" t="s">
        <v>180</v>
      </c>
      <c r="C29" s="50" t="n">
        <f aca="false">'Monthly Budget'!C85</f>
        <v>0</v>
      </c>
      <c r="D29" s="50" t="n">
        <f aca="false">'Monthly Budget'!D85</f>
        <v>0</v>
      </c>
      <c r="E29" s="50" t="n">
        <f aca="false">'Monthly Budget'!E85</f>
        <v>0</v>
      </c>
      <c r="F29" s="50" t="n">
        <f aca="false">'Monthly Budget'!F85</f>
        <v>0</v>
      </c>
      <c r="G29" s="50" t="n">
        <f aca="false">'Monthly Budget'!G85</f>
        <v>0</v>
      </c>
      <c r="H29" s="50" t="n">
        <f aca="false">'Monthly Budget'!H85</f>
        <v>0</v>
      </c>
      <c r="I29" s="50" t="n">
        <f aca="false">'Monthly Budget'!I85</f>
        <v>0</v>
      </c>
      <c r="J29" s="50" t="n">
        <f aca="false">'Monthly Budget'!J85</f>
        <v>0</v>
      </c>
      <c r="K29" s="50" t="n">
        <f aca="false">'Monthly Budget'!K85</f>
        <v>0</v>
      </c>
      <c r="L29" s="50" t="n">
        <f aca="false">'Monthly Budget'!L85</f>
        <v>0</v>
      </c>
      <c r="M29" s="50" t="n">
        <f aca="false">'Monthly Budget'!M85</f>
        <v>0</v>
      </c>
      <c r="N29" s="50" t="n">
        <f aca="false">'Monthly Budget'!N85</f>
        <v>0</v>
      </c>
    </row>
    <row r="30" customFormat="false" ht="25.5" hidden="false" customHeight="true" outlineLevel="0" collapsed="false">
      <c r="B30" s="49" t="s">
        <v>181</v>
      </c>
      <c r="C30" s="50" t="n">
        <f aca="false">'Monthly Budget'!C98</f>
        <v>0</v>
      </c>
      <c r="D30" s="50" t="n">
        <f aca="false">'Monthly Budget'!D98</f>
        <v>0</v>
      </c>
      <c r="E30" s="50" t="n">
        <f aca="false">'Monthly Budget'!E98</f>
        <v>0</v>
      </c>
      <c r="F30" s="50" t="n">
        <f aca="false">'Monthly Budget'!F98</f>
        <v>0</v>
      </c>
      <c r="G30" s="50" t="n">
        <f aca="false">'Monthly Budget'!G98</f>
        <v>0</v>
      </c>
      <c r="H30" s="50" t="n">
        <f aca="false">'Monthly Budget'!H98</f>
        <v>0</v>
      </c>
      <c r="I30" s="50" t="n">
        <f aca="false">'Monthly Budget'!I98</f>
        <v>0</v>
      </c>
      <c r="J30" s="50" t="n">
        <f aca="false">'Monthly Budget'!J98</f>
        <v>0</v>
      </c>
      <c r="K30" s="50" t="n">
        <f aca="false">'Monthly Budget'!K98</f>
        <v>0</v>
      </c>
      <c r="L30" s="50" t="n">
        <f aca="false">'Monthly Budget'!L98</f>
        <v>0</v>
      </c>
      <c r="M30" s="50" t="n">
        <f aca="false">'Monthly Budget'!M98</f>
        <v>0</v>
      </c>
      <c r="N30" s="50" t="n">
        <f aca="false">'Monthly Budget'!N98</f>
        <v>0</v>
      </c>
    </row>
    <row r="31" customFormat="false" ht="25.5" hidden="false" customHeight="true" outlineLevel="0" collapsed="false">
      <c r="B31" s="49" t="s">
        <v>182</v>
      </c>
      <c r="C31" s="50" t="n">
        <f aca="false">'Monthly Budget'!C107</f>
        <v>0</v>
      </c>
      <c r="D31" s="50" t="n">
        <f aca="false">'Monthly Budget'!D107</f>
        <v>0</v>
      </c>
      <c r="E31" s="50" t="n">
        <f aca="false">'Monthly Budget'!E107</f>
        <v>0</v>
      </c>
      <c r="F31" s="50" t="n">
        <f aca="false">'Monthly Budget'!F107</f>
        <v>0</v>
      </c>
      <c r="G31" s="50" t="n">
        <f aca="false">'Monthly Budget'!G107</f>
        <v>0</v>
      </c>
      <c r="H31" s="50" t="n">
        <f aca="false">'Monthly Budget'!H107</f>
        <v>0</v>
      </c>
      <c r="I31" s="50" t="n">
        <f aca="false">'Monthly Budget'!I107</f>
        <v>0</v>
      </c>
      <c r="J31" s="50" t="n">
        <f aca="false">'Monthly Budget'!J107</f>
        <v>0</v>
      </c>
      <c r="K31" s="50" t="n">
        <f aca="false">'Monthly Budget'!K107</f>
        <v>0</v>
      </c>
      <c r="L31" s="50" t="n">
        <f aca="false">'Monthly Budget'!L107</f>
        <v>0</v>
      </c>
      <c r="M31" s="50" t="n">
        <f aca="false">'Monthly Budget'!M107</f>
        <v>0</v>
      </c>
      <c r="N31" s="50" t="n">
        <f aca="false">'Monthly Budget'!N107</f>
        <v>0</v>
      </c>
    </row>
    <row r="34" customFormat="false" ht="21" hidden="false" customHeight="true" outlineLevel="0" collapsed="false">
      <c r="B34" s="51" t="s">
        <v>183</v>
      </c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</row>
    <row r="35" customFormat="false" ht="15" hidden="false" customHeight="false" outlineLevel="0" collapsed="false">
      <c r="B35" s="52" t="s">
        <v>171</v>
      </c>
      <c r="C35" s="53" t="s">
        <v>28</v>
      </c>
      <c r="D35" s="53" t="s">
        <v>29</v>
      </c>
      <c r="E35" s="53" t="s">
        <v>30</v>
      </c>
      <c r="F35" s="53" t="s">
        <v>31</v>
      </c>
      <c r="G35" s="53" t="s">
        <v>32</v>
      </c>
      <c r="H35" s="53" t="s">
        <v>33</v>
      </c>
      <c r="I35" s="53" t="s">
        <v>34</v>
      </c>
      <c r="J35" s="53" t="s">
        <v>35</v>
      </c>
      <c r="K35" s="53" t="s">
        <v>36</v>
      </c>
      <c r="L35" s="53" t="s">
        <v>37</v>
      </c>
      <c r="M35" s="53" t="s">
        <v>38</v>
      </c>
      <c r="N35" s="53" t="s">
        <v>39</v>
      </c>
    </row>
    <row r="36" customFormat="false" ht="25.5" hidden="false" customHeight="true" outlineLevel="0" collapsed="false">
      <c r="B36" s="54" t="s">
        <v>172</v>
      </c>
      <c r="C36" s="55" t="n">
        <f aca="false">C21+(ROW()-35)/1000000</f>
        <v>1E-006</v>
      </c>
      <c r="D36" s="55" t="n">
        <f aca="false">D21+(ROW()-35)/1000000</f>
        <v>1E-006</v>
      </c>
      <c r="E36" s="55" t="n">
        <f aca="false">E21+(ROW()-35)/1000000</f>
        <v>1E-006</v>
      </c>
      <c r="F36" s="55" t="n">
        <f aca="false">F21+(ROW()-35)/1000000</f>
        <v>1E-006</v>
      </c>
      <c r="G36" s="55" t="n">
        <f aca="false">G21+(ROW()-35)/1000000</f>
        <v>1E-006</v>
      </c>
      <c r="H36" s="55" t="n">
        <f aca="false">H21+(ROW()-35)/1000000</f>
        <v>1E-006</v>
      </c>
      <c r="I36" s="55" t="n">
        <f aca="false">I21+(ROW()-35)/1000000</f>
        <v>1E-006</v>
      </c>
      <c r="J36" s="55" t="n">
        <f aca="false">J21+(ROW()-35)/1000000</f>
        <v>1E-006</v>
      </c>
      <c r="K36" s="55" t="n">
        <f aca="false">K21+(ROW()-35)/1000000</f>
        <v>1E-006</v>
      </c>
      <c r="L36" s="55" t="n">
        <f aca="false">L21+(ROW()-35)/1000000</f>
        <v>1E-006</v>
      </c>
      <c r="M36" s="55" t="n">
        <f aca="false">M21+(ROW()-35)/1000000</f>
        <v>1E-006</v>
      </c>
      <c r="N36" s="55" t="n">
        <f aca="false">N21+(ROW()-35)/1000000</f>
        <v>1E-006</v>
      </c>
    </row>
    <row r="37" customFormat="false" ht="25.5" hidden="false" customHeight="true" outlineLevel="0" collapsed="false">
      <c r="B37" s="54" t="s">
        <v>173</v>
      </c>
      <c r="C37" s="55" t="n">
        <f aca="false">C22+(ROW()-35)/1000000</f>
        <v>2E-006</v>
      </c>
      <c r="D37" s="55" t="n">
        <f aca="false">D22+(ROW()-35)/1000000</f>
        <v>2E-006</v>
      </c>
      <c r="E37" s="55" t="n">
        <f aca="false">E22+(ROW()-35)/1000000</f>
        <v>2E-006</v>
      </c>
      <c r="F37" s="55" t="n">
        <f aca="false">F22+(ROW()-35)/1000000</f>
        <v>2E-006</v>
      </c>
      <c r="G37" s="55" t="n">
        <f aca="false">G22+(ROW()-35)/1000000</f>
        <v>2E-006</v>
      </c>
      <c r="H37" s="55" t="n">
        <f aca="false">H22+(ROW()-35)/1000000</f>
        <v>2E-006</v>
      </c>
      <c r="I37" s="55" t="n">
        <f aca="false">I22+(ROW()-35)/1000000</f>
        <v>2E-006</v>
      </c>
      <c r="J37" s="55" t="n">
        <f aca="false">J22+(ROW()-35)/1000000</f>
        <v>2E-006</v>
      </c>
      <c r="K37" s="55" t="n">
        <f aca="false">K22+(ROW()-35)/1000000</f>
        <v>2E-006</v>
      </c>
      <c r="L37" s="55" t="n">
        <f aca="false">L22+(ROW()-35)/1000000</f>
        <v>2E-006</v>
      </c>
      <c r="M37" s="55" t="n">
        <f aca="false">M22+(ROW()-35)/1000000</f>
        <v>2E-006</v>
      </c>
      <c r="N37" s="55" t="n">
        <f aca="false">N22+(ROW()-35)/1000000</f>
        <v>2E-006</v>
      </c>
    </row>
    <row r="38" customFormat="false" ht="25.5" hidden="false" customHeight="true" outlineLevel="0" collapsed="false">
      <c r="B38" s="54" t="s">
        <v>174</v>
      </c>
      <c r="C38" s="55" t="n">
        <f aca="false">C23+(ROW()-35)/1000000</f>
        <v>3E-006</v>
      </c>
      <c r="D38" s="55" t="n">
        <f aca="false">D23+(ROW()-35)/1000000</f>
        <v>3E-006</v>
      </c>
      <c r="E38" s="55" t="n">
        <f aca="false">E23+(ROW()-35)/1000000</f>
        <v>3E-006</v>
      </c>
      <c r="F38" s="55" t="n">
        <f aca="false">F23+(ROW()-35)/1000000</f>
        <v>3E-006</v>
      </c>
      <c r="G38" s="55" t="n">
        <f aca="false">G23+(ROW()-35)/1000000</f>
        <v>3E-006</v>
      </c>
      <c r="H38" s="55" t="n">
        <f aca="false">H23+(ROW()-35)/1000000</f>
        <v>3E-006</v>
      </c>
      <c r="I38" s="55" t="n">
        <f aca="false">I23+(ROW()-35)/1000000</f>
        <v>3E-006</v>
      </c>
      <c r="J38" s="55" t="n">
        <f aca="false">J23+(ROW()-35)/1000000</f>
        <v>3E-006</v>
      </c>
      <c r="K38" s="55" t="n">
        <f aca="false">K23+(ROW()-35)/1000000</f>
        <v>3E-006</v>
      </c>
      <c r="L38" s="55" t="n">
        <f aca="false">L23+(ROW()-35)/1000000</f>
        <v>3E-006</v>
      </c>
      <c r="M38" s="55" t="n">
        <f aca="false">M23+(ROW()-35)/1000000</f>
        <v>3E-006</v>
      </c>
      <c r="N38" s="55" t="n">
        <f aca="false">N23+(ROW()-35)/1000000</f>
        <v>3E-006</v>
      </c>
    </row>
    <row r="39" customFormat="false" ht="25.5" hidden="false" customHeight="true" outlineLevel="0" collapsed="false">
      <c r="B39" s="54" t="s">
        <v>175</v>
      </c>
      <c r="C39" s="55" t="n">
        <f aca="false">C24+(ROW()-35)/1000000</f>
        <v>4E-006</v>
      </c>
      <c r="D39" s="55" t="n">
        <f aca="false">D24+(ROW()-35)/1000000</f>
        <v>4E-006</v>
      </c>
      <c r="E39" s="55" t="n">
        <f aca="false">E24+(ROW()-35)/1000000</f>
        <v>4E-006</v>
      </c>
      <c r="F39" s="55" t="n">
        <f aca="false">F24+(ROW()-35)/1000000</f>
        <v>4E-006</v>
      </c>
      <c r="G39" s="55" t="n">
        <f aca="false">G24+(ROW()-35)/1000000</f>
        <v>4E-006</v>
      </c>
      <c r="H39" s="55" t="n">
        <f aca="false">H24+(ROW()-35)/1000000</f>
        <v>4E-006</v>
      </c>
      <c r="I39" s="55" t="n">
        <f aca="false">I24+(ROW()-35)/1000000</f>
        <v>4E-006</v>
      </c>
      <c r="J39" s="55" t="n">
        <f aca="false">J24+(ROW()-35)/1000000</f>
        <v>4E-006</v>
      </c>
      <c r="K39" s="55" t="n">
        <f aca="false">K24+(ROW()-35)/1000000</f>
        <v>4E-006</v>
      </c>
      <c r="L39" s="55" t="n">
        <f aca="false">L24+(ROW()-35)/1000000</f>
        <v>4E-006</v>
      </c>
      <c r="M39" s="55" t="n">
        <f aca="false">M24+(ROW()-35)/1000000</f>
        <v>4E-006</v>
      </c>
      <c r="N39" s="55" t="n">
        <f aca="false">N24+(ROW()-35)/1000000</f>
        <v>4E-006</v>
      </c>
    </row>
    <row r="40" customFormat="false" ht="25.5" hidden="false" customHeight="true" outlineLevel="0" collapsed="false">
      <c r="B40" s="54" t="s">
        <v>176</v>
      </c>
      <c r="C40" s="55" t="n">
        <f aca="false">C25+(ROW()-35)/1000000</f>
        <v>5E-006</v>
      </c>
      <c r="D40" s="55" t="n">
        <f aca="false">D25+(ROW()-35)/1000000</f>
        <v>5E-006</v>
      </c>
      <c r="E40" s="55" t="n">
        <f aca="false">E25+(ROW()-35)/1000000</f>
        <v>5E-006</v>
      </c>
      <c r="F40" s="55" t="n">
        <f aca="false">F25+(ROW()-35)/1000000</f>
        <v>5E-006</v>
      </c>
      <c r="G40" s="55" t="n">
        <f aca="false">G25+(ROW()-35)/1000000</f>
        <v>5E-006</v>
      </c>
      <c r="H40" s="55" t="n">
        <f aca="false">H25+(ROW()-35)/1000000</f>
        <v>5E-006</v>
      </c>
      <c r="I40" s="55" t="n">
        <f aca="false">I25+(ROW()-35)/1000000</f>
        <v>5E-006</v>
      </c>
      <c r="J40" s="55" t="n">
        <f aca="false">J25+(ROW()-35)/1000000</f>
        <v>5E-006</v>
      </c>
      <c r="K40" s="55" t="n">
        <f aca="false">K25+(ROW()-35)/1000000</f>
        <v>5E-006</v>
      </c>
      <c r="L40" s="55" t="n">
        <f aca="false">L25+(ROW()-35)/1000000</f>
        <v>5E-006</v>
      </c>
      <c r="M40" s="55" t="n">
        <f aca="false">M25+(ROW()-35)/1000000</f>
        <v>5E-006</v>
      </c>
      <c r="N40" s="55" t="n">
        <f aca="false">N25+(ROW()-35)/1000000</f>
        <v>5E-006</v>
      </c>
    </row>
    <row r="41" customFormat="false" ht="25.5" hidden="false" customHeight="true" outlineLevel="0" collapsed="false">
      <c r="B41" s="54" t="s">
        <v>177</v>
      </c>
      <c r="C41" s="55" t="n">
        <f aca="false">C26+(ROW()-35)/1000000</f>
        <v>6E-006</v>
      </c>
      <c r="D41" s="55" t="n">
        <f aca="false">D26+(ROW()-35)/1000000</f>
        <v>6E-006</v>
      </c>
      <c r="E41" s="55" t="n">
        <f aca="false">E26+(ROW()-35)/1000000</f>
        <v>6E-006</v>
      </c>
      <c r="F41" s="55" t="n">
        <f aca="false">F26+(ROW()-35)/1000000</f>
        <v>6E-006</v>
      </c>
      <c r="G41" s="55" t="n">
        <f aca="false">G26+(ROW()-35)/1000000</f>
        <v>6E-006</v>
      </c>
      <c r="H41" s="55" t="n">
        <f aca="false">H26+(ROW()-35)/1000000</f>
        <v>6E-006</v>
      </c>
      <c r="I41" s="55" t="n">
        <f aca="false">I26+(ROW()-35)/1000000</f>
        <v>6E-006</v>
      </c>
      <c r="J41" s="55" t="n">
        <f aca="false">J26+(ROW()-35)/1000000</f>
        <v>6E-006</v>
      </c>
      <c r="K41" s="55" t="n">
        <f aca="false">K26+(ROW()-35)/1000000</f>
        <v>6E-006</v>
      </c>
      <c r="L41" s="55" t="n">
        <f aca="false">L26+(ROW()-35)/1000000</f>
        <v>6E-006</v>
      </c>
      <c r="M41" s="55" t="n">
        <f aca="false">M26+(ROW()-35)/1000000</f>
        <v>6E-006</v>
      </c>
      <c r="N41" s="55" t="n">
        <f aca="false">N26+(ROW()-35)/1000000</f>
        <v>6E-006</v>
      </c>
    </row>
    <row r="42" customFormat="false" ht="25.5" hidden="false" customHeight="true" outlineLevel="0" collapsed="false">
      <c r="B42" s="54" t="s">
        <v>178</v>
      </c>
      <c r="C42" s="55" t="n">
        <f aca="false">C27+(ROW()-35)/1000000</f>
        <v>7E-006</v>
      </c>
      <c r="D42" s="55" t="n">
        <f aca="false">D27+(ROW()-35)/1000000</f>
        <v>7E-006</v>
      </c>
      <c r="E42" s="55" t="n">
        <f aca="false">E27+(ROW()-35)/1000000</f>
        <v>7E-006</v>
      </c>
      <c r="F42" s="55" t="n">
        <f aca="false">F27+(ROW()-35)/1000000</f>
        <v>7E-006</v>
      </c>
      <c r="G42" s="55" t="n">
        <f aca="false">G27+(ROW()-35)/1000000</f>
        <v>7E-006</v>
      </c>
      <c r="H42" s="55" t="n">
        <f aca="false">H27+(ROW()-35)/1000000</f>
        <v>7E-006</v>
      </c>
      <c r="I42" s="55" t="n">
        <f aca="false">I27+(ROW()-35)/1000000</f>
        <v>7E-006</v>
      </c>
      <c r="J42" s="55" t="n">
        <f aca="false">J27+(ROW()-35)/1000000</f>
        <v>7E-006</v>
      </c>
      <c r="K42" s="55" t="n">
        <f aca="false">K27+(ROW()-35)/1000000</f>
        <v>7E-006</v>
      </c>
      <c r="L42" s="55" t="n">
        <f aca="false">L27+(ROW()-35)/1000000</f>
        <v>7E-006</v>
      </c>
      <c r="M42" s="55" t="n">
        <f aca="false">M27+(ROW()-35)/1000000</f>
        <v>7E-006</v>
      </c>
      <c r="N42" s="55" t="n">
        <f aca="false">N27+(ROW()-35)/1000000</f>
        <v>7E-006</v>
      </c>
    </row>
    <row r="43" customFormat="false" ht="25.5" hidden="false" customHeight="true" outlineLevel="0" collapsed="false">
      <c r="B43" s="54" t="s">
        <v>179</v>
      </c>
      <c r="C43" s="55" t="n">
        <f aca="false">C28+(ROW()-35)/1000000</f>
        <v>8E-006</v>
      </c>
      <c r="D43" s="55" t="n">
        <f aca="false">D28+(ROW()-35)/1000000</f>
        <v>8E-006</v>
      </c>
      <c r="E43" s="55" t="n">
        <f aca="false">E28+(ROW()-35)/1000000</f>
        <v>8E-006</v>
      </c>
      <c r="F43" s="55" t="n">
        <f aca="false">F28+(ROW()-35)/1000000</f>
        <v>8E-006</v>
      </c>
      <c r="G43" s="55" t="n">
        <f aca="false">G28+(ROW()-35)/1000000</f>
        <v>8E-006</v>
      </c>
      <c r="H43" s="55" t="n">
        <f aca="false">H28+(ROW()-35)/1000000</f>
        <v>8E-006</v>
      </c>
      <c r="I43" s="55" t="n">
        <f aca="false">I28+(ROW()-35)/1000000</f>
        <v>8E-006</v>
      </c>
      <c r="J43" s="55" t="n">
        <f aca="false">J28+(ROW()-35)/1000000</f>
        <v>8E-006</v>
      </c>
      <c r="K43" s="55" t="n">
        <f aca="false">K28+(ROW()-35)/1000000</f>
        <v>8E-006</v>
      </c>
      <c r="L43" s="55" t="n">
        <f aca="false">L28+(ROW()-35)/1000000</f>
        <v>8E-006</v>
      </c>
      <c r="M43" s="55" t="n">
        <f aca="false">M28+(ROW()-35)/1000000</f>
        <v>8E-006</v>
      </c>
      <c r="N43" s="55" t="n">
        <f aca="false">N28+(ROW()-35)/1000000</f>
        <v>8E-006</v>
      </c>
    </row>
    <row r="44" customFormat="false" ht="25.5" hidden="false" customHeight="true" outlineLevel="0" collapsed="false">
      <c r="B44" s="54" t="s">
        <v>180</v>
      </c>
      <c r="C44" s="55" t="n">
        <f aca="false">C29+(ROW()-35)/1000000</f>
        <v>9E-006</v>
      </c>
      <c r="D44" s="55" t="n">
        <f aca="false">D29+(ROW()-35)/1000000</f>
        <v>9E-006</v>
      </c>
      <c r="E44" s="55" t="n">
        <f aca="false">E29+(ROW()-35)/1000000</f>
        <v>9E-006</v>
      </c>
      <c r="F44" s="55" t="n">
        <f aca="false">F29+(ROW()-35)/1000000</f>
        <v>9E-006</v>
      </c>
      <c r="G44" s="55" t="n">
        <f aca="false">G29+(ROW()-35)/1000000</f>
        <v>9E-006</v>
      </c>
      <c r="H44" s="55" t="n">
        <f aca="false">H29+(ROW()-35)/1000000</f>
        <v>9E-006</v>
      </c>
      <c r="I44" s="55" t="n">
        <f aca="false">I29+(ROW()-35)/1000000</f>
        <v>9E-006</v>
      </c>
      <c r="J44" s="55" t="n">
        <f aca="false">J29+(ROW()-35)/1000000</f>
        <v>9E-006</v>
      </c>
      <c r="K44" s="55" t="n">
        <f aca="false">K29+(ROW()-35)/1000000</f>
        <v>9E-006</v>
      </c>
      <c r="L44" s="55" t="n">
        <f aca="false">L29+(ROW()-35)/1000000</f>
        <v>9E-006</v>
      </c>
      <c r="M44" s="55" t="n">
        <f aca="false">M29+(ROW()-35)/1000000</f>
        <v>9E-006</v>
      </c>
      <c r="N44" s="55" t="n">
        <f aca="false">N29+(ROW()-35)/1000000</f>
        <v>9E-006</v>
      </c>
    </row>
    <row r="45" customFormat="false" ht="25.5" hidden="false" customHeight="true" outlineLevel="0" collapsed="false">
      <c r="B45" s="54" t="s">
        <v>181</v>
      </c>
      <c r="C45" s="55" t="n">
        <f aca="false">C30+(ROW()-35)/1000000</f>
        <v>1E-005</v>
      </c>
      <c r="D45" s="55" t="n">
        <f aca="false">D30+(ROW()-35)/1000000</f>
        <v>1E-005</v>
      </c>
      <c r="E45" s="55" t="n">
        <f aca="false">E30+(ROW()-35)/1000000</f>
        <v>1E-005</v>
      </c>
      <c r="F45" s="55" t="n">
        <f aca="false">F30+(ROW()-35)/1000000</f>
        <v>1E-005</v>
      </c>
      <c r="G45" s="55" t="n">
        <f aca="false">G30+(ROW()-35)/1000000</f>
        <v>1E-005</v>
      </c>
      <c r="H45" s="55" t="n">
        <f aca="false">H30+(ROW()-35)/1000000</f>
        <v>1E-005</v>
      </c>
      <c r="I45" s="55" t="n">
        <f aca="false">I30+(ROW()-35)/1000000</f>
        <v>1E-005</v>
      </c>
      <c r="J45" s="55" t="n">
        <f aca="false">J30+(ROW()-35)/1000000</f>
        <v>1E-005</v>
      </c>
      <c r="K45" s="55" t="n">
        <f aca="false">K30+(ROW()-35)/1000000</f>
        <v>1E-005</v>
      </c>
      <c r="L45" s="55" t="n">
        <f aca="false">L30+(ROW()-35)/1000000</f>
        <v>1E-005</v>
      </c>
      <c r="M45" s="55" t="n">
        <f aca="false">M30+(ROW()-35)/1000000</f>
        <v>1E-005</v>
      </c>
      <c r="N45" s="55" t="n">
        <f aca="false">N30+(ROW()-35)/1000000</f>
        <v>1E-005</v>
      </c>
    </row>
    <row r="46" customFormat="false" ht="25.5" hidden="false" customHeight="true" outlineLevel="0" collapsed="false">
      <c r="B46" s="54" t="s">
        <v>182</v>
      </c>
      <c r="C46" s="55" t="n">
        <f aca="false">C31+(ROW()-35)/1000000</f>
        <v>1.1E-005</v>
      </c>
      <c r="D46" s="55" t="n">
        <f aca="false">D31+(ROW()-35)/1000000</f>
        <v>1.1E-005</v>
      </c>
      <c r="E46" s="55" t="n">
        <f aca="false">E31+(ROW()-35)/1000000</f>
        <v>1.1E-005</v>
      </c>
      <c r="F46" s="55" t="n">
        <f aca="false">F31+(ROW()-35)/1000000</f>
        <v>1.1E-005</v>
      </c>
      <c r="G46" s="55" t="n">
        <f aca="false">G31+(ROW()-35)/1000000</f>
        <v>1.1E-005</v>
      </c>
      <c r="H46" s="55" t="n">
        <f aca="false">H31+(ROW()-35)/1000000</f>
        <v>1.1E-005</v>
      </c>
      <c r="I46" s="55" t="n">
        <f aca="false">I31+(ROW()-35)/1000000</f>
        <v>1.1E-005</v>
      </c>
      <c r="J46" s="55" t="n">
        <f aca="false">J31+(ROW()-35)/1000000</f>
        <v>1.1E-005</v>
      </c>
      <c r="K46" s="55" t="n">
        <f aca="false">K31+(ROW()-35)/1000000</f>
        <v>1.1E-005</v>
      </c>
      <c r="L46" s="55" t="n">
        <f aca="false">L31+(ROW()-35)/1000000</f>
        <v>1.1E-005</v>
      </c>
      <c r="M46" s="55" t="n">
        <f aca="false">M31+(ROW()-35)/1000000</f>
        <v>1.1E-005</v>
      </c>
      <c r="N46" s="55" t="n">
        <f aca="false">N31+(ROW()-35)/1000000</f>
        <v>1.1E-005</v>
      </c>
    </row>
    <row r="49" customFormat="false" ht="19.5" hidden="false" customHeight="true" outlineLevel="0" collapsed="false">
      <c r="B49" s="56" t="s">
        <v>184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</row>
  </sheetData>
  <mergeCells count="5">
    <mergeCell ref="B2:N2"/>
    <mergeCell ref="B3:N3"/>
    <mergeCell ref="B19:N19"/>
    <mergeCell ref="B34:N34"/>
    <mergeCell ref="B49:N49"/>
  </mergeCells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2026-10-23T19:21:03Z</dcterms:created>
  <dc:creator>Maple Money Hacks</dc:creator>
  <dc:description/>
  <cp:keywords>Canada monthly expenses budget money date Maple Money Hacks</cp:keywords>
  <dc:language>en-US</dc:language>
  <cp:lastModifiedBy/>
  <dcterms:modified xsi:type="dcterms:W3CDTF">2026-10-23T19:21:04Z</dcterms:modified>
  <cp:revision>0</cp:revision>
  <dc:subject>Monthly expense totals and partner money-date review</dc:subject>
  <dc:title>Monthly Expense Tracker — Maple Money Hacks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